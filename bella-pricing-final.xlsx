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تسعير بيلا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<sst xmlns="http://schemas.openxmlformats.org/spreadsheetml/2006/main" count="209" uniqueCount="160">
  <si>
    <t xml:space="preserve">مراجعة تسعير وتكاليف بيلا بوتيك</t>
  </si>
  <si>
    <t xml:space="preserve">أصفر = تعبينها أنتِ   |   برتقالي = تقدير مبدئي، استبدليه بسعر المتجر الصيني   |   أسود = يُحسب تلقائيًا</t>
  </si>
  <si>
    <t xml:space="preserve">الافتراضات والتكاليف الثابتة</t>
  </si>
  <si>
    <t xml:space="preserve">سعر صرف اليوان (ريال لكل يوان)</t>
  </si>
  <si>
    <t xml:space="preserve">رسوم الفحص — أقل من الحد (يوان)</t>
  </si>
  <si>
    <t xml:space="preserve">رسوم الفحص — أعلى من الحد (يوان)</t>
  </si>
  <si>
    <t xml:space="preserve">حد قيمة الحقيبة (يوان)</t>
  </si>
  <si>
    <t xml:space="preserve">أجرة الموظفة الصينية (يوان/شنطة)</t>
  </si>
  <si>
    <t xml:space="preserve">الشحن (ريال/شنطة)</t>
  </si>
  <si>
    <t xml:space="preserve">النسبة الأساسية المستهدفة (% من التجزئة)</t>
  </si>
  <si>
    <t xml:space="preserve">الحد الأعلى المستهدف (% من التجزئة)</t>
  </si>
  <si>
    <t xml:space="preserve">حد التنبيه — سعر مرتفع (%)</t>
  </si>
  <si>
    <t xml:space="preserve">أقل هامش مقبول (%)</t>
  </si>
  <si>
    <t xml:space="preserve">أقل ربح مقبول بالريال</t>
  </si>
  <si>
    <t xml:space="preserve">الماركة</t>
  </si>
  <si>
    <t xml:space="preserve">الموديل</t>
  </si>
  <si>
    <t xml:space="preserve">سعرك الحالي (ريال)</t>
  </si>
  <si>
    <t xml:space="preserve">تكلفة المورد (يوان)</t>
  </si>
  <si>
    <t xml:space="preserve">رسوم الفحص (يوان)</t>
  </si>
  <si>
    <t xml:space="preserve">أجرة الموظفة (يوان)</t>
  </si>
  <si>
    <t xml:space="preserve">إجمالي اليوان</t>
  </si>
  <si>
    <t xml:space="preserve">التكلفة بالريال</t>
  </si>
  <si>
    <t xml:space="preserve">الشحن (ريال)</t>
  </si>
  <si>
    <t xml:space="preserve">التكلفة الإجمالية (ريال)</t>
  </si>
  <si>
    <t xml:space="preserve">سعر التجزئة الرسمي (يوان)</t>
  </si>
  <si>
    <t xml:space="preserve">سعر التجزئة (ريال)</t>
  </si>
  <si>
    <t xml:space="preserve">نسبتك من التجزئة</t>
  </si>
  <si>
    <t xml:space="preserve">مقترح أدنى (ريال)</t>
  </si>
  <si>
    <t xml:space="preserve">مقترح أعلى (ريال)</t>
  </si>
  <si>
    <t xml:space="preserve">ربحك الحالي</t>
  </si>
  <si>
    <t xml:space="preserve">هامش %</t>
  </si>
  <si>
    <t xml:space="preserve">الربح عند المقترح الأدنى</t>
  </si>
  <si>
    <t xml:space="preserve">الحالة</t>
  </si>
  <si>
    <t xml:space="preserve">ملاحظة</t>
  </si>
  <si>
    <t xml:space="preserve">نسبة الحالة</t>
  </si>
  <si>
    <t xml:space="preserve">المرفقات</t>
  </si>
  <si>
    <t xml:space="preserve">السعر الحالي (مطبّق)</t>
  </si>
  <si>
    <t xml:space="preserve">الربح</t>
  </si>
  <si>
    <t xml:space="preserve">الهامش %</t>
  </si>
  <si>
    <t xml:space="preserve">أقل سعر مربح</t>
  </si>
  <si>
    <t xml:space="preserve">سعر الشراء كنسبة من التجزئة</t>
  </si>
  <si>
    <t xml:space="preserve">التقييم</t>
  </si>
  <si>
    <t xml:space="preserve">دليل السوق</t>
  </si>
  <si>
    <t xml:space="preserve">Louis Vuitton</t>
  </si>
  <si>
    <t xml:space="preserve">Speedy Nano</t>
  </si>
  <si>
    <t xml:space="preserve">تقدير من $1,960 (موقع LV أمريكا)</t>
  </si>
  <si>
    <t xml:space="preserve">جديدة تمامًا — لم تُستخدم</t>
  </si>
  <si>
    <t xml:space="preserve">مسحوبة — نفدت الكمية. التكلفة أعلى من التجزئة الصينية</t>
  </si>
  <si>
    <t xml:space="preserve">Gucci</t>
  </si>
  <si>
    <t xml:space="preserve">Horsebit 1955 Mini</t>
  </si>
  <si>
    <t xml:space="preserve">تقدير من $2,650 (StockX)</t>
  </si>
  <si>
    <t xml:space="preserve">٩٩٪ — غير مستخدمة</t>
  </si>
  <si>
    <t xml:space="preserve">Dior</t>
  </si>
  <si>
    <t xml:space="preserve">Lady Dior Mini — Pearl Grey</t>
  </si>
  <si>
    <t xml:space="preserve">تقدير من ~19,500 درهم (دبي 2026)</t>
  </si>
  <si>
    <t xml:space="preserve">٩٨٪ — كالجديدة</t>
  </si>
  <si>
    <t xml:space="preserve">البريلفد الأمريكي 2,800-4,000$ لليدي ديور ميني</t>
  </si>
  <si>
    <t xml:space="preserve">Lady Dior — Patent Pink</t>
  </si>
  <si>
    <t xml:space="preserve">الباتنت أغلى 15-60%</t>
  </si>
  <si>
    <t xml:space="preserve">نفس نطاق الميني، مع خصم بسيط</t>
  </si>
  <si>
    <t xml:space="preserve">Chanel</t>
  </si>
  <si>
    <t xml:space="preserve">Wallet on Chain (WOC) — Black Caviar</t>
  </si>
  <si>
    <t xml:space="preserve">RealReal: WOC كافيار 1,570-2,450$ — سعرك أعلى، مبرر بحالة 99% وطقم كامل</t>
  </si>
  <si>
    <t xml:space="preserve">Key Bag — Medium</t>
  </si>
  <si>
    <t xml:space="preserve">1stDibs: كي ميديوم أسود 2,449$ (معروضة 2,953$)</t>
  </si>
  <si>
    <t xml:space="preserve">CD Besace</t>
  </si>
  <si>
    <t xml:space="preserve">تقدير من $3,299 — لا تزال على dior.com</t>
  </si>
  <si>
    <t xml:space="preserve">التجزئة 3,299$ — سعرك 63% منها، داخل النطاق</t>
  </si>
  <si>
    <t xml:space="preserve">Bamboo Basket Bag</t>
  </si>
  <si>
    <t xml:space="preserve">تقدير من ~€3,500</t>
  </si>
  <si>
    <t xml:space="preserve">Half Horsebit Shoulder Bag</t>
  </si>
  <si>
    <t xml:space="preserve">فحص مطلوب</t>
  </si>
  <si>
    <t xml:space="preserve">RealReal: هورسبيت 1955 سمول 1,595$ وميديوم 1,700$</t>
  </si>
  <si>
    <t xml:space="preserve">Bobby Bag — New Moon</t>
  </si>
  <si>
    <t xml:space="preserve">٩٨٪ — غير مستخدمة</t>
  </si>
  <si>
    <t xml:space="preserve">StockX: بوبي ميديوم آخر بيعة 2,220-2,450$</t>
  </si>
  <si>
    <t xml:space="preserve">Dauphine MM</t>
  </si>
  <si>
    <t xml:space="preserve">ممتازة ٩٥٪ — كالجديدة</t>
  </si>
  <si>
    <t xml:space="preserve">StockX: دوفين MM آخر بيعة 3,000$ — تُباع فوق التجزئة</t>
  </si>
  <si>
    <t xml:space="preserve">Ophidia GG Tote</t>
  </si>
  <si>
    <t xml:space="preserve">الفارق المقترح كان 400 ريال فقط — لا يستحق التعديل</t>
  </si>
  <si>
    <t xml:space="preserve">30 Montaigne Horizontal — Oblique</t>
  </si>
  <si>
    <t xml:space="preserve">eBay: 30 مونتين مستعملة 1,250-1,795$ — سعرك وسط النطاق</t>
  </si>
  <si>
    <t xml:space="preserve">LOEWE</t>
  </si>
  <si>
    <t xml:space="preserve">Gate Dual Bag</t>
  </si>
  <si>
    <t xml:space="preserve">RealReal 1,245$ · Farfetch 1,053$ · Walmart جديدة 1,700$</t>
  </si>
  <si>
    <t xml:space="preserve">GG Marmont Small — Black</t>
  </si>
  <si>
    <t xml:space="preserve">Saint Laurent</t>
  </si>
  <si>
    <t xml:space="preserve">Cassandre Chain Wallet</t>
  </si>
  <si>
    <t xml:space="preserve">Double — Envelope Clutch</t>
  </si>
  <si>
    <t xml:space="preserve">٩٨٪ — أثر تخزين خفيف</t>
  </si>
  <si>
    <t xml:space="preserve">JoliCloset: باوتشات كارو 650-2,000 يورو حسب الحالة</t>
  </si>
  <si>
    <t xml:space="preserve">GG Marmont Small — White</t>
  </si>
  <si>
    <t xml:space="preserve">٩٥٪ — كالجديدة</t>
  </si>
  <si>
    <t xml:space="preserve">StockX: مارمونت سمول أبيض آخر بيعة 1,299$</t>
  </si>
  <si>
    <t xml:space="preserve">Balenciaga</t>
  </si>
  <si>
    <t xml:space="preserve">Hourglass Wallet on Chain</t>
  </si>
  <si>
    <t xml:space="preserve">Yoogi's التجزئة 1,750$ · Lyst مستعملة 921-1,500$</t>
  </si>
  <si>
    <t xml:space="preserve">GG Marmont Mini Chain Bag</t>
  </si>
  <si>
    <t xml:space="preserve">eBay مُباعة 1,610$ (بائع دبي) · Fashionphile ~1,242$</t>
  </si>
  <si>
    <t xml:space="preserve">Le Cagole Small</t>
  </si>
  <si>
    <t xml:space="preserve">جيدة جدًا ٨٧٪ — اصفرار وأثر استعمال</t>
  </si>
  <si>
    <t xml:space="preserve">StockX: آخر بيعة 1,092$ — خُفّض للاصفرار</t>
  </si>
  <si>
    <t xml:space="preserve">Dionysus Small Shoulder Bag</t>
  </si>
  <si>
    <t xml:space="preserve">جيدة جدًا ٩٢٪ — تقشّر بالكانفس</t>
  </si>
  <si>
    <t xml:space="preserve">Blondie Cylindrical</t>
  </si>
  <si>
    <t xml:space="preserve">Celine</t>
  </si>
  <si>
    <t xml:space="preserve">Triangle Bag</t>
  </si>
  <si>
    <t xml:space="preserve">ممتازة ٩٧٪ — أثر مسك خفيف</t>
  </si>
  <si>
    <t xml:space="preserve">ShopSimon: 776$ (كانت 877$)</t>
  </si>
  <si>
    <t xml:space="preserve">Mini Pochette</t>
  </si>
  <si>
    <t xml:space="preserve">مباعة — Sold Out</t>
  </si>
  <si>
    <t xml:space="preserve">٩٥٪</t>
  </si>
  <si>
    <t xml:space="preserve">Prada</t>
  </si>
  <si>
    <t xml:space="preserve">Galleria — Camel (جلد ناعم)</t>
  </si>
  <si>
    <t xml:space="preserve">يلزم سعر التجزئة الصيني من المورد</t>
  </si>
  <si>
    <t xml:space="preserve">Haute Secret Shoppers: جاليريا ميديوم بالجلد الأملس تجزئة 6,400$ مقابل 4,400–5,000$ للسافيانو</t>
  </si>
  <si>
    <t xml:space="preserve">Galleria Medium — Nude Pink (سافيانو)</t>
  </si>
  <si>
    <t xml:space="preserve">٩٨٪ — شبه جديدة</t>
  </si>
  <si>
    <t xml:space="preserve">RealReal: جاليريا سافيانو ميديوم مستعملة 2,425$ — أي 52٪ تحت تجزئة 5,000$</t>
  </si>
  <si>
    <t xml:space="preserve">Chain Shoulder Bag (WOC) — Black</t>
  </si>
  <si>
    <t xml:space="preserve">إصدار بشريحة NFC — يحتاج تأكيد من جهة الفحص</t>
  </si>
  <si>
    <t xml:space="preserve">لم يُبحث بعد — يحتاج تحقق من بيعات السوق</t>
  </si>
  <si>
    <t xml:space="preserve">Quilted Padded Tote — Black</t>
  </si>
  <si>
    <t xml:space="preserve">المورد لم يعطِ نسبة حالة — إصدار بشريحة NFC يحتاج تأكيد</t>
  </si>
  <si>
    <t xml:space="preserve">غير مستخدمة</t>
  </si>
  <si>
    <t xml:space="preserve">Caro Medium — Haze Blue Grey</t>
  </si>
  <si>
    <t xml:space="preserve">العيب أُفصح عنه في الصفحة وبصورة مستقلة · سقف تفاوض ¥8,800</t>
  </si>
  <si>
    <t xml:space="preserve">٩٠٪ — جيدة جداً · تآكل طلاء الحافة عند زاويتين</t>
  </si>
  <si>
    <t xml:space="preserve">Rebag: كارو ميديوم أسود بحالة Good بيعت 2,775$ من تجزئة مقدّرة 4,600$ (٦٠٪ من التجزئة بحالة أدنى)</t>
  </si>
  <si>
    <t xml:space="preserve">Lady Dior Micro Vanity — Black</t>
  </si>
  <si>
    <r>
      <rPr>
        <sz val="9"/>
        <rFont val="Arial"/>
        <family val="0"/>
        <charset val="1"/>
      </rPr>
      <t xml:space="preserve">سعر </t>
    </r>
    <r>
      <rPr>
        <sz val="9"/>
        <rFont val="Noto Sans CJK SC"/>
        <family val="2"/>
      </rPr>
      <t xml:space="preserve">同行 </t>
    </r>
    <r>
      <rPr>
        <sz val="9"/>
        <rFont val="Arial"/>
        <family val="0"/>
        <charset val="1"/>
      </rPr>
      <t xml:space="preserve">· الحزام وكيس القماش مؤكدان · بلا بطاقة أصالة (فحص داخلي)</t>
    </r>
  </si>
  <si>
    <t xml:space="preserve">Fashionphile: مايكرو فانيتي أسود كانّاج بحالة Excellent بطقم كامل 1,470$ ≈ ٥,٥١٣ ريال</t>
  </si>
  <si>
    <t xml:space="preserve">فينتج — تُسعّر بالندرة لا بسعر التجزئة</t>
  </si>
  <si>
    <t xml:space="preserve">Vintage Quilted Frame Bag</t>
  </si>
  <si>
    <t xml:space="preserve">قارنيها بقطع فينتج مشابهة</t>
  </si>
  <si>
    <t xml:space="preserve">ممتازة ٩٥٪ — فينتج محفوظة</t>
  </si>
  <si>
    <t xml:space="preserve">1stDibs: كليتش شانيل بإطار جلد مبطّن 3,195$</t>
  </si>
  <si>
    <t xml:space="preserve">31 Rue Cambon Boston Bag</t>
  </si>
  <si>
    <t xml:space="preserve">جيدة جدًا ٨٧٪ — أثر أحمر شفاه بالبطانة</t>
  </si>
  <si>
    <t xml:space="preserve">1stDibs: كامبون 3,180-3,280$ — خُفّض لأثر أحمر الشفاه</t>
  </si>
  <si>
    <t xml:space="preserve">Vintage Sports Line Barrel Bag</t>
  </si>
  <si>
    <t xml:space="preserve">جيدة جدًا ٩٠٪ — باتينا فينتج</t>
  </si>
  <si>
    <t xml:space="preserve">eBay: خط Sport Line نطاق 750-1,500$</t>
  </si>
  <si>
    <t xml:space="preserve">الإجمالي</t>
  </si>
  <si>
    <t xml:space="preserve">الملخص — بعد تطبيق كل التعديلات</t>
  </si>
  <si>
    <t xml:space="preserve">إجمالي البيع</t>
  </si>
  <si>
    <t xml:space="preserve">إجمالي التكلفة</t>
  </si>
  <si>
    <t xml:space="preserve">الهامش</t>
  </si>
  <si>
    <t xml:space="preserve">متوسط سعر الشراء كنسبة من التجزئة</t>
  </si>
  <si>
    <t xml:space="preserve">• القاعدة: سعر البريلفد المنطقي = 55%-70% من التجزئة (أدلة السوق تذكر 55-80% للموديلات الحالية بحالة ممتازة).</t>
  </si>
  <si>
    <t xml:space="preserve">ملاحظات</t>
  </si>
  <si>
    <t xml:space="preserve">• كل الأسعار في العمود C مطابقة لما هو منشور فعليًا على bellasa.net.</t>
  </si>
  <si>
    <t xml:space="preserve">• عمود «دليل السوق» يوضّح مصدر كل سعر — من بيعات فعلية على StockX و RealReal و 1stDibs و eBay وFarfetch، لا من نسبة التجزئة.</t>
  </si>
  <si>
    <t xml:space="preserve">• درس مهم: تقدير «55% من التجزئة الصينية» كان يبالغ باستمرار. التقدير الأول كان +32,900 ريال، والواقع بعد التحقق السوقي +16,400 تقريبًا.</t>
  </si>
  <si>
    <t xml:space="preserve">• عمود «سعر الشراء كنسبة من التجزئة» هو أهم مؤشر للمشتريات القادمة: السقف الصحي 35% أو أقل.</t>
  </si>
  <si>
    <t xml:space="preserve">• أمثلة على شراء مكلف: LV Speedy Nano 74% من التجزئة، LOEWE Gate Dual 50%. كلاهما ضغط الهامش.</t>
  </si>
  <si>
    <t xml:space="preserve">• LV Speedy Nano مسحوبة من البيع (نفدت الكمية) لحين إيجاد مورد بسعر أفضل.</t>
  </si>
  <si>
    <t xml:space="preserve">• الفينتج (شانيل) لا تُقارن بالتجزئة — سُعّرت بمقارنة قطع مشابهة في السوق.</t>
  </si>
  <si>
    <t xml:space="preserve">• أسعار المراجع أمريكية وأوروبية. السوق السعودي قد يتحمل أعلى، خصوصًا للقطع غير المستخدمة بطقم كامل — فاعتبريها أرضية آمنة لا سقفًا.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</si>
</sst>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#,##0"/>
    <numFmt numFmtId="167" formatCode="0%"/>
    <numFmt numFmtId="168" formatCode="#,##0;\(#,##0\);\-"/>
    <numFmt numFmtId="169" formatCode="0\%"/>
    <numFmt numFmtId="170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9"/>
      <name val="Noto Sans CJK SC"/>
      <family val="2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6EFCE"/>
      </patternFill>
    </fill>
    <fill>
      <patternFill patternType="solid">
        <fgColor rgb="FFFCE4D6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2F2F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2" ySplit="16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K20" activeCellId="0" sqref="K20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13.99"/>
    <col collapsed="false" customWidth="true" hidden="false" outlineLevel="0" max="2" min="2" style="1" width="32.02"/>
    <col collapsed="false" customWidth="true" hidden="false" outlineLevel="0" max="4" min="3" style="1" width="13.03"/>
    <col collapsed="false" customWidth="true" hidden="false" outlineLevel="0" max="7" min="5" style="1" width="11.97"/>
    <col collapsed="false" customWidth="true" hidden="false" outlineLevel="0" max="8" min="8" style="1" width="13.03"/>
    <col collapsed="false" customWidth="true" hidden="false" outlineLevel="0" max="9" min="9" style="1" width="9.94"/>
    <col collapsed="false" customWidth="true" hidden="false" outlineLevel="0" max="10" min="10" style="1" width="14.93"/>
    <col collapsed="false" customWidth="true" hidden="false" outlineLevel="0" max="11" min="11" style="1" width="16.01"/>
    <col collapsed="false" customWidth="true" hidden="false" outlineLevel="0" max="12" min="12" style="1" width="13.99"/>
    <col collapsed="false" customWidth="true" hidden="false" outlineLevel="0" max="16" min="13" style="1" width="11.97"/>
    <col collapsed="false" customWidth="true" hidden="false" outlineLevel="0" max="17" min="17" style="1" width="9.01"/>
    <col collapsed="false" customWidth="true" hidden="false" outlineLevel="0" max="18" min="18" style="1" width="14.93"/>
    <col collapsed="false" customWidth="true" hidden="false" outlineLevel="0" max="19" min="19" style="1" width="22.06"/>
    <col collapsed="false" customWidth="true" hidden="false" outlineLevel="0" max="20" min="20" style="1" width="32.02"/>
    <col collapsed="false" customWidth="true" hidden="false" outlineLevel="0" max="21" min="21" style="1" width="32"/>
    <col collapsed="false" customWidth="true" hidden="false" outlineLevel="0" max="22" min="22" style="1" width="11"/>
    <col collapsed="false" customWidth="true" hidden="false" outlineLevel="0" max="23" min="23" style="1" width="10"/>
    <col collapsed="false" customWidth="true" hidden="false" outlineLevel="0" max="24" min="24" style="1" width="16"/>
    <col collapsed="false" customWidth="true" hidden="false" outlineLevel="0" max="25" min="25" style="1" width="11"/>
    <col collapsed="false" customWidth="true" hidden="false" outlineLevel="0" max="26" min="26" style="1" width="10"/>
    <col collapsed="false" customWidth="true" hidden="false" outlineLevel="0" max="27" min="27" style="1" width="13"/>
    <col collapsed="false" customWidth="true" hidden="false" outlineLevel="0" max="28" min="28" style="1" width="15"/>
    <col collapsed="false" customWidth="true" hidden="false" outlineLevel="0" max="29" min="29" style="1" width="20"/>
    <col collapsed="false" customWidth="true" hidden="false" outlineLevel="0" max="30" min="30" style="1" width="52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0.555</v>
      </c>
    </row>
    <row r="6" customFormat="false" ht="15" hidden="false" customHeight="true" outlineLevel="0" collapsed="false">
      <c r="A6" s="5" t="s">
        <v>4</v>
      </c>
      <c r="B6" s="7" t="n">
        <v>400</v>
      </c>
    </row>
    <row r="7" customFormat="false" ht="15" hidden="false" customHeight="true" outlineLevel="0" collapsed="false">
      <c r="A7" s="5" t="s">
        <v>5</v>
      </c>
      <c r="B7" s="7" t="n">
        <v>700</v>
      </c>
    </row>
    <row r="8" customFormat="false" ht="15" hidden="false" customHeight="true" outlineLevel="0" collapsed="false">
      <c r="A8" s="5" t="s">
        <v>6</v>
      </c>
      <c r="B8" s="7" t="n">
        <v>50000</v>
      </c>
    </row>
    <row r="9" customFormat="false" ht="15" hidden="false" customHeight="true" outlineLevel="0" collapsed="false">
      <c r="A9" s="5" t="s">
        <v>7</v>
      </c>
      <c r="B9" s="7" t="n">
        <v>400</v>
      </c>
    </row>
    <row r="10" customFormat="false" ht="15" hidden="false" customHeight="true" outlineLevel="0" collapsed="false">
      <c r="A10" s="5" t="s">
        <v>8</v>
      </c>
      <c r="B10" s="7" t="n">
        <v>100</v>
      </c>
    </row>
    <row r="11" customFormat="false" ht="15" hidden="false" customHeight="true" outlineLevel="0" collapsed="false">
      <c r="A11" s="5" t="s">
        <v>9</v>
      </c>
      <c r="B11" s="8" t="n">
        <v>0.55</v>
      </c>
    </row>
    <row r="12" customFormat="false" ht="15" hidden="false" customHeight="true" outlineLevel="0" collapsed="false">
      <c r="A12" s="5" t="s">
        <v>10</v>
      </c>
      <c r="B12" s="8" t="n">
        <v>0.6</v>
      </c>
    </row>
    <row r="13" customFormat="false" ht="15" hidden="false" customHeight="true" outlineLevel="0" collapsed="false">
      <c r="A13" s="5" t="s">
        <v>11</v>
      </c>
      <c r="B13" s="8" t="n">
        <v>0.85</v>
      </c>
    </row>
    <row r="14" customFormat="false" ht="15" hidden="false" customHeight="true" outlineLevel="0" collapsed="false">
      <c r="A14" s="5" t="s">
        <v>12</v>
      </c>
      <c r="B14" s="8" t="n">
        <v>0.25</v>
      </c>
    </row>
    <row r="15" customFormat="false" ht="15" hidden="false" customHeight="true" outlineLevel="0" collapsed="false">
      <c r="A15" s="5" t="s">
        <v>13</v>
      </c>
      <c r="B15" s="7" t="n">
        <v>700</v>
      </c>
    </row>
    <row r="16" customFormat="false" ht="42" hidden="false" customHeight="true" outlineLevel="0" collapsed="false">
      <c r="A16" s="9" t="s">
        <v>14</v>
      </c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9" t="s">
        <v>20</v>
      </c>
      <c r="H16" s="9" t="s">
        <v>21</v>
      </c>
      <c r="I16" s="9" t="s">
        <v>22</v>
      </c>
      <c r="J16" s="9" t="s">
        <v>23</v>
      </c>
      <c r="K16" s="9" t="s">
        <v>24</v>
      </c>
      <c r="L16" s="9" t="s">
        <v>25</v>
      </c>
      <c r="M16" s="9" t="s">
        <v>26</v>
      </c>
      <c r="N16" s="9" t="s">
        <v>27</v>
      </c>
      <c r="O16" s="9" t="s">
        <v>28</v>
      </c>
      <c r="P16" s="9" t="s">
        <v>29</v>
      </c>
      <c r="Q16" s="9" t="s">
        <v>30</v>
      </c>
      <c r="R16" s="9" t="s">
        <v>31</v>
      </c>
      <c r="S16" s="9" t="s">
        <v>32</v>
      </c>
      <c r="T16" s="9" t="s">
        <v>33</v>
      </c>
      <c r="U16" s="9" t="s">
        <v>32</v>
      </c>
      <c r="V16" s="9" t="s">
        <v>34</v>
      </c>
      <c r="W16" s="9" t="s">
        <v>35</v>
      </c>
      <c r="X16" s="9" t="s">
        <v>36</v>
      </c>
      <c r="Y16" s="9" t="s">
        <v>37</v>
      </c>
      <c r="Z16" s="9" t="s">
        <v>38</v>
      </c>
      <c r="AA16" s="9" t="s">
        <v>39</v>
      </c>
      <c r="AB16" s="9" t="s">
        <v>40</v>
      </c>
      <c r="AC16" s="9" t="s">
        <v>41</v>
      </c>
      <c r="AD16" s="9" t="s">
        <v>42</v>
      </c>
    </row>
    <row r="17" customFormat="false" ht="15" hidden="false" customHeight="true" outlineLevel="0" collapsed="false">
      <c r="A17" s="10" t="s">
        <v>43</v>
      </c>
      <c r="B17" s="10" t="s">
        <v>44</v>
      </c>
      <c r="C17" s="11" t="n">
        <v>6000</v>
      </c>
      <c r="D17" s="11" t="n">
        <v>11300</v>
      </c>
      <c r="E17" s="12" t="n">
        <f aca="false">IF(D17="","",IF(IF(K17="",D17,K17)&gt;$B$8,$B$7,$B$6))</f>
        <v>400</v>
      </c>
      <c r="F17" s="12" t="n">
        <f aca="false">IF(D17="","",$B$9)</f>
        <v>400</v>
      </c>
      <c r="G17" s="12" t="n">
        <f aca="false">IF(D17="","",D17+E17+F17)</f>
        <v>12100</v>
      </c>
      <c r="H17" s="12" t="n">
        <f aca="false">IF(D17="","",G17*$B$5)</f>
        <v>6715.5</v>
      </c>
      <c r="I17" s="12" t="n">
        <f aca="false">IF(D17="","",$B$10)</f>
        <v>100</v>
      </c>
      <c r="J17" s="12" t="n">
        <f aca="false">IF(D17="","",H17+I17)</f>
        <v>6815.5</v>
      </c>
      <c r="K17" s="13" t="n">
        <v>15300</v>
      </c>
      <c r="L17" s="12" t="n">
        <f aca="false">IF(K17="","",K17*$B$5)</f>
        <v>8491.5</v>
      </c>
      <c r="M17" s="14" t="n">
        <f aca="false">IF(K17="","",IFERROR(C17/L17,""))</f>
        <v>0.70658894188306</v>
      </c>
      <c r="N17" s="12" t="n">
        <f aca="false">IF(K17="","",L17*$B$11)</f>
        <v>4670.325</v>
      </c>
      <c r="O17" s="12" t="n">
        <f aca="false">IF(K17="","",L17*$B$12)</f>
        <v>5094.9</v>
      </c>
      <c r="P17" s="12" t="n">
        <f aca="false">IF(D17="","",C17-J17)</f>
        <v>-815.500000000001</v>
      </c>
      <c r="Q17" s="14" t="n">
        <f aca="false">IF(D17="","",IFERROR((C17-J17)/C17,""))</f>
        <v>-0.135916666666667</v>
      </c>
      <c r="R17" s="12" t="n">
        <f aca="false">IF(OR(K17="",D17=""),"",N17-J17)</f>
        <v>-2145.175</v>
      </c>
      <c r="S17" s="10" t="str">
        <f aca="false">IF(K17="","ادخلي سعر التجزئة",IF(C17&gt;=L17,"خطر - اغلى من الجديد",IF(M17&gt;$B$13,"تحذير - قريب من الجديد",IF(M17&gt;$B$12,"مراجعة - اعلى من المقترح",IF(M17&lt;$B$11,"فرصة - ممكن ترفعين","جيد")))))</f>
        <v>مراجعة - اعلى من المقترح</v>
      </c>
      <c r="T17" s="15" t="s">
        <v>45</v>
      </c>
      <c r="U17" s="15" t="s">
        <v>46</v>
      </c>
      <c r="V17" s="16" t="n">
        <v>100</v>
      </c>
      <c r="W17" s="17" t="n">
        <v>3</v>
      </c>
      <c r="X17" s="18" t="n">
        <f aca="false">C17</f>
        <v>6000</v>
      </c>
      <c r="Y17" s="12" t="n">
        <f aca="false">IF(J17="","",X17-J17)</f>
        <v>-815.500000000001</v>
      </c>
      <c r="Z17" s="14" t="n">
        <f aca="false">IF(J17="","",IFERROR((X17-J17)/X17,""))</f>
        <v>-0.135916666666667</v>
      </c>
      <c r="AA17" s="12" t="n">
        <f aca="false">IF(J17="","",ROUND(J17/(1-$B$14)/100,0)*100)</f>
        <v>9100</v>
      </c>
      <c r="AB17" s="14" t="n">
        <f aca="false">IF(OR(D17="",K17=""),"",IFERROR(D17/K17,""))</f>
        <v>0.738562091503268</v>
      </c>
      <c r="AC17" s="10" t="str">
        <f aca="false">IF(J17="","",IF(X17&lt;J17,"خسارة",IF(AND(Z17&gt;=$B$14,Y17&gt;=$B$15),"جيد",IF(Y17&gt;=$B$15,"هامش منخفض - مقبول","ربح ضعيف - راجعي"))))</f>
        <v>خسارة</v>
      </c>
      <c r="AD17" s="15" t="s">
        <v>47</v>
      </c>
    </row>
    <row r="18" customFormat="false" ht="15" hidden="false" customHeight="true" outlineLevel="0" collapsed="false">
      <c r="A18" s="10" t="s">
        <v>48</v>
      </c>
      <c r="B18" s="10" t="s">
        <v>49</v>
      </c>
      <c r="C18" s="11" t="n">
        <v>7800</v>
      </c>
      <c r="D18" s="19" t="n">
        <v>7500</v>
      </c>
      <c r="E18" s="12" t="n">
        <f aca="false">IF(D18="","",IF(IF(K18="",D18,K18)&gt;$B$8,$B$7,$B$6))</f>
        <v>400</v>
      </c>
      <c r="F18" s="12" t="n">
        <f aca="false">IF(D18="","",$B$9)</f>
        <v>400</v>
      </c>
      <c r="G18" s="12" t="n">
        <f aca="false">IF(D18="","",D18+E18+F18)</f>
        <v>8300</v>
      </c>
      <c r="H18" s="12" t="n">
        <f aca="false">IF(D18="","",G18*$B$5)</f>
        <v>4606.5</v>
      </c>
      <c r="I18" s="12" t="n">
        <f aca="false">IF(D18="","",$B$10)</f>
        <v>100</v>
      </c>
      <c r="J18" s="12" t="n">
        <f aca="false">IF(D18="","",H18+I18)</f>
        <v>4706.5</v>
      </c>
      <c r="K18" s="13" t="n">
        <v>24000</v>
      </c>
      <c r="L18" s="12" t="n">
        <f aca="false">IF(K18="","",K18*$B$5)</f>
        <v>13320</v>
      </c>
      <c r="M18" s="14" t="n">
        <f aca="false">IF(K18="","",IFERROR(C18/L18,""))</f>
        <v>0.585585585585586</v>
      </c>
      <c r="N18" s="12" t="n">
        <f aca="false">IF(K18="","",L18*$B$11)</f>
        <v>7326</v>
      </c>
      <c r="O18" s="12" t="n">
        <f aca="false">IF(K18="","",L18*$B$12)</f>
        <v>7992</v>
      </c>
      <c r="P18" s="12" t="n">
        <f aca="false">IF(D18="","",C18-J18)</f>
        <v>3093.5</v>
      </c>
      <c r="Q18" s="14" t="n">
        <f aca="false">IF(D18="","",IFERROR((C18-J18)/C18,""))</f>
        <v>0.396602564102564</v>
      </c>
      <c r="R18" s="12" t="n">
        <f aca="false">IF(OR(K18="",D18=""),"",N18-J18)</f>
        <v>2619.5</v>
      </c>
      <c r="S18" s="10" t="str">
        <f aca="false">IF(K18="","ادخلي سعر التجزئة",IF(C18&gt;=L18,"خطر - اغلى من الجديد",IF(M18&gt;$B$13,"تحذير - قريب من الجديد",IF(M18&gt;$B$12,"مراجعة - اعلى من المقترح",IF(M18&lt;$B$11,"فرصة - ممكن ترفعين","جيد")))))</f>
        <v>جيد</v>
      </c>
      <c r="T18" s="15" t="s">
        <v>50</v>
      </c>
      <c r="U18" s="15" t="s">
        <v>51</v>
      </c>
      <c r="V18" s="16" t="n">
        <v>99</v>
      </c>
      <c r="W18" s="17" t="n">
        <v>1</v>
      </c>
      <c r="X18" s="18" t="n">
        <f aca="false">C18</f>
        <v>7800</v>
      </c>
      <c r="Y18" s="12" t="n">
        <f aca="false">IF(J18="","",X18-J18)</f>
        <v>3093.5</v>
      </c>
      <c r="Z18" s="14" t="n">
        <f aca="false">IF(J18="","",IFERROR((X18-J18)/X18,""))</f>
        <v>0.396602564102564</v>
      </c>
      <c r="AA18" s="12" t="n">
        <f aca="false">IF(J18="","",ROUND(J18/(1-$B$14)/100,0)*100)</f>
        <v>6300</v>
      </c>
      <c r="AB18" s="14" t="n">
        <f aca="false">IF(OR(D18="",K18=""),"",IFERROR(D18/K18,""))</f>
        <v>0.3125</v>
      </c>
      <c r="AC18" s="10" t="str">
        <f aca="false">IF(J18="","",IF(X18&lt;J18,"خسارة",IF(AND(Z18&gt;=$B$14,Y18&gt;=$B$15),"جيد",IF(Y18&gt;=$B$15,"هامش منخفض - مقبول","ربح ضعيف - راجعي"))))</f>
        <v>جيد</v>
      </c>
      <c r="AD18" s="15"/>
    </row>
    <row r="19" customFormat="false" ht="15" hidden="false" customHeight="true" outlineLevel="0" collapsed="false">
      <c r="A19" s="10" t="s">
        <v>52</v>
      </c>
      <c r="B19" s="10" t="s">
        <v>53</v>
      </c>
      <c r="C19" s="11" t="n">
        <v>11900</v>
      </c>
      <c r="D19" s="19" t="n">
        <v>13000</v>
      </c>
      <c r="E19" s="12" t="n">
        <f aca="false">IF(D19="","",IF(IF(K19="",D19,K19)&gt;$B$8,$B$7,$B$6))</f>
        <v>400</v>
      </c>
      <c r="F19" s="12" t="n">
        <f aca="false">IF(D19="","",$B$9)</f>
        <v>400</v>
      </c>
      <c r="G19" s="12" t="n">
        <f aca="false">IF(D19="","",D19+E19+F19)</f>
        <v>13800</v>
      </c>
      <c r="H19" s="12" t="n">
        <f aca="false">IF(D19="","",G19*$B$5)</f>
        <v>7659</v>
      </c>
      <c r="I19" s="12" t="n">
        <f aca="false">IF(D19="","",$B$10)</f>
        <v>100</v>
      </c>
      <c r="J19" s="12" t="n">
        <f aca="false">IF(D19="","",H19+I19)</f>
        <v>7759</v>
      </c>
      <c r="K19" s="13" t="n">
        <v>35856</v>
      </c>
      <c r="L19" s="12" t="n">
        <f aca="false">IF(K19="","",K19*$B$5)</f>
        <v>19900.08</v>
      </c>
      <c r="M19" s="14" t="n">
        <f aca="false">IF(K19="","",IFERROR(C19/L19,""))</f>
        <v>0.59798754577871</v>
      </c>
      <c r="N19" s="12" t="n">
        <f aca="false">IF(K19="","",L19*$B$11)</f>
        <v>10945.044</v>
      </c>
      <c r="O19" s="12" t="n">
        <f aca="false">IF(K19="","",L19*$B$12)</f>
        <v>11940.048</v>
      </c>
      <c r="P19" s="12" t="n">
        <f aca="false">IF(D19="","",C19-J19)</f>
        <v>4141</v>
      </c>
      <c r="Q19" s="14" t="n">
        <f aca="false">IF(D19="","",IFERROR((C19-J19)/C19,""))</f>
        <v>0.347983193277311</v>
      </c>
      <c r="R19" s="12" t="n">
        <f aca="false">IF(OR(K19="",D19=""),"",N19-J19)</f>
        <v>3186.044</v>
      </c>
      <c r="S19" s="10" t="str">
        <f aca="false">IF(K19="","ادخلي سعر التجزئة",IF(C19&gt;=L19,"خطر - اغلى من الجديد",IF(M19&gt;$B$13,"تحذير - قريب من الجديد",IF(M19&gt;$B$12,"مراجعة - اعلى من المقترح",IF(M19&lt;$B$11,"فرصة - ممكن ترفعين","جيد")))))</f>
        <v>جيد</v>
      </c>
      <c r="T19" s="15" t="s">
        <v>54</v>
      </c>
      <c r="U19" s="15" t="s">
        <v>55</v>
      </c>
      <c r="V19" s="16" t="n">
        <v>98</v>
      </c>
      <c r="W19" s="17" t="n">
        <v>4</v>
      </c>
      <c r="X19" s="18" t="n">
        <f aca="false">C19</f>
        <v>11900</v>
      </c>
      <c r="Y19" s="12" t="n">
        <f aca="false">IF(J19="","",X19-J19)</f>
        <v>4141</v>
      </c>
      <c r="Z19" s="14" t="n">
        <f aca="false">IF(J19="","",IFERROR((X19-J19)/X19,""))</f>
        <v>0.347983193277311</v>
      </c>
      <c r="AA19" s="12" t="n">
        <f aca="false">IF(J19="","",ROUND(J19/(1-$B$14)/100,0)*100)</f>
        <v>10300</v>
      </c>
      <c r="AB19" s="14" t="n">
        <f aca="false">IF(OR(D19="",K19=""),"",IFERROR(D19/K19,""))</f>
        <v>0.36256135653726</v>
      </c>
      <c r="AC19" s="10" t="str">
        <f aca="false">IF(J19="","",IF(X19&lt;J19,"خسارة",IF(AND(Z19&gt;=$B$14,Y19&gt;=$B$15),"جيد",IF(Y19&gt;=$B$15,"هامش منخفض - مقبول","ربح ضعيف - راجعي"))))</f>
        <v>جيد</v>
      </c>
      <c r="AD19" s="15" t="s">
        <v>56</v>
      </c>
    </row>
    <row r="20" customFormat="false" ht="15" hidden="false" customHeight="true" outlineLevel="0" collapsed="false">
      <c r="A20" s="10" t="s">
        <v>52</v>
      </c>
      <c r="B20" s="10" t="s">
        <v>57</v>
      </c>
      <c r="C20" s="11" t="n">
        <v>11500</v>
      </c>
      <c r="D20" s="19" t="n">
        <v>12300</v>
      </c>
      <c r="E20" s="12" t="n">
        <f aca="false">IF(D20="","",IF(IF(K20="",D20,K20)&gt;$B$8,$B$7,$B$6))</f>
        <v>400</v>
      </c>
      <c r="F20" s="12" t="n">
        <f aca="false">IF(D20="","",$B$9)</f>
        <v>400</v>
      </c>
      <c r="G20" s="12" t="n">
        <f aca="false">IF(D20="","",D20+E20+F20)</f>
        <v>13100</v>
      </c>
      <c r="H20" s="12" t="n">
        <f aca="false">IF(D20="","",G20*$B$5)</f>
        <v>7270.5</v>
      </c>
      <c r="I20" s="12" t="n">
        <f aca="false">IF(D20="","",$B$10)</f>
        <v>100</v>
      </c>
      <c r="J20" s="12" t="n">
        <f aca="false">IF(D20="","",H20+I20)</f>
        <v>7370.5</v>
      </c>
      <c r="K20" s="19" t="n">
        <v>35000</v>
      </c>
      <c r="L20" s="12" t="n">
        <f aca="false">IF(K20="","",K20*$B$5)</f>
        <v>19425</v>
      </c>
      <c r="M20" s="14" t="n">
        <f aca="false">IF(K20="","",IFERROR(C20/L20,""))</f>
        <v>0.592020592020592</v>
      </c>
      <c r="N20" s="12" t="n">
        <f aca="false">IF(K20="","",L20*$B$11)</f>
        <v>10683.75</v>
      </c>
      <c r="O20" s="12" t="n">
        <f aca="false">IF(K20="","",L20*$B$12)</f>
        <v>11655</v>
      </c>
      <c r="P20" s="12" t="n">
        <f aca="false">IF(D20="","",C20-J20)</f>
        <v>4129.5</v>
      </c>
      <c r="Q20" s="14" t="n">
        <f aca="false">IF(D20="","",IFERROR((C20-J20)/C20,""))</f>
        <v>0.359086956521739</v>
      </c>
      <c r="R20" s="12" t="n">
        <f aca="false">IF(OR(K20="",D20=""),"",N20-J20)</f>
        <v>3313.25</v>
      </c>
      <c r="S20" s="10" t="str">
        <f aca="false">IF(K20="","ادخلي سعر التجزئة",IF(C20&gt;=L20,"خطر - اغلى من الجديد",IF(M20&gt;$B$13,"تحذير - قريب من الجديد",IF(M20&gt;$B$12,"مراجعة - اعلى من المقترح",IF(M20&lt;$B$11,"فرصة - ممكن ترفعين","جيد")))))</f>
        <v>جيد</v>
      </c>
      <c r="T20" s="15" t="s">
        <v>58</v>
      </c>
      <c r="U20" s="15" t="s">
        <v>51</v>
      </c>
      <c r="V20" s="16" t="n">
        <v>99</v>
      </c>
      <c r="W20" s="17" t="n">
        <v>3</v>
      </c>
      <c r="X20" s="18" t="n">
        <f aca="false">C20</f>
        <v>11500</v>
      </c>
      <c r="Y20" s="12" t="n">
        <f aca="false">IF(J20="","",X20-J20)</f>
        <v>4129.5</v>
      </c>
      <c r="Z20" s="14" t="n">
        <f aca="false">IF(J20="","",IFERROR((X20-J20)/X20,""))</f>
        <v>0.359086956521739</v>
      </c>
      <c r="AA20" s="12" t="n">
        <f aca="false">IF(J20="","",ROUND(J20/(1-$B$14)/100,0)*100)</f>
        <v>9800</v>
      </c>
      <c r="AB20" s="14" t="n">
        <f aca="false">IF(OR(D20="",K20=""),"",IFERROR(D20/K20,""))</f>
        <v>0.351428571428571</v>
      </c>
      <c r="AC20" s="10" t="str">
        <f aca="false">IF(J20="","",IF(X20&lt;J20,"خسارة",IF(AND(Z20&gt;=$B$14,Y20&gt;=$B$15),"جيد",IF(Y20&gt;=$B$15,"هامش منخفض - مقبول","ربح ضعيف - راجعي"))))</f>
        <v>جيد</v>
      </c>
      <c r="AD20" s="15" t="s">
        <v>59</v>
      </c>
    </row>
    <row r="21" customFormat="false" ht="15" hidden="false" customHeight="true" outlineLevel="0" collapsed="false">
      <c r="A21" s="10" t="s">
        <v>60</v>
      </c>
      <c r="B21" s="10" t="s">
        <v>61</v>
      </c>
      <c r="C21" s="11" t="n">
        <v>11800</v>
      </c>
      <c r="D21" s="19" t="n">
        <v>16000</v>
      </c>
      <c r="E21" s="12" t="n">
        <f aca="false">IF(D21="","",IF(IF(K21="",D21,K21)&gt;$B$8,$B$7,$B$6))</f>
        <v>400</v>
      </c>
      <c r="F21" s="12" t="n">
        <f aca="false">IF(D21="","",$B$9)</f>
        <v>400</v>
      </c>
      <c r="G21" s="12" t="n">
        <f aca="false">IF(D21="","",D21+E21+F21)</f>
        <v>16800</v>
      </c>
      <c r="H21" s="12" t="n">
        <f aca="false">IF(D21="","",G21*$B$5)</f>
        <v>9324</v>
      </c>
      <c r="I21" s="12" t="n">
        <f aca="false">IF(D21="","",$B$10)</f>
        <v>100</v>
      </c>
      <c r="J21" s="12" t="n">
        <f aca="false">IF(D21="","",H21+I21)</f>
        <v>9424</v>
      </c>
      <c r="K21" s="19" t="n">
        <v>26500</v>
      </c>
      <c r="L21" s="12" t="n">
        <f aca="false">IF(K21="","",K21*$B$5)</f>
        <v>14707.5</v>
      </c>
      <c r="M21" s="14" t="n">
        <f aca="false">IF(K21="","",IFERROR(C21/L21,""))</f>
        <v>0.802311745707972</v>
      </c>
      <c r="N21" s="12" t="n">
        <f aca="false">IF(K21="","",L21*$B$11)</f>
        <v>8089.125</v>
      </c>
      <c r="O21" s="12" t="n">
        <f aca="false">IF(K21="","",L21*$B$12)</f>
        <v>8824.5</v>
      </c>
      <c r="P21" s="12" t="n">
        <f aca="false">IF(D21="","",C21-J21)</f>
        <v>2376</v>
      </c>
      <c r="Q21" s="14" t="n">
        <f aca="false">IF(D21="","",IFERROR((C21-J21)/C21,""))</f>
        <v>0.20135593220339</v>
      </c>
      <c r="R21" s="12" t="n">
        <f aca="false">IF(OR(K21="",D21=""),"",N21-J21)</f>
        <v>-1334.875</v>
      </c>
      <c r="S21" s="10" t="str">
        <f aca="false">IF(K21="","ادخلي سعر التجزئة",IF(C21&gt;=L21,"خطر - اغلى من الجديد",IF(M21&gt;$B$13,"تحذير - قريب من الجديد",IF(M21&gt;$B$12,"مراجعة - اعلى من المقترح",IF(M21&lt;$B$11,"فرصة - ممكن ترفعين","جيد")))))</f>
        <v>مراجعة - اعلى من المقترح</v>
      </c>
      <c r="T21" s="15"/>
      <c r="U21" s="15" t="s">
        <v>51</v>
      </c>
      <c r="V21" s="16" t="n">
        <v>99</v>
      </c>
      <c r="W21" s="17" t="n">
        <v>5</v>
      </c>
      <c r="X21" s="18" t="n">
        <f aca="false">C21</f>
        <v>11800</v>
      </c>
      <c r="Y21" s="12" t="n">
        <f aca="false">IF(J21="","",X21-J21)</f>
        <v>2376</v>
      </c>
      <c r="Z21" s="14" t="n">
        <f aca="false">IF(J21="","",IFERROR((X21-J21)/X21,""))</f>
        <v>0.20135593220339</v>
      </c>
      <c r="AA21" s="12" t="n">
        <f aca="false">IF(J21="","",ROUND(J21/(1-$B$14)/100,0)*100)</f>
        <v>12600</v>
      </c>
      <c r="AB21" s="14" t="n">
        <f aca="false">IF(OR(D21="",K21=""),"",IFERROR(D21/K21,""))</f>
        <v>0.60377358490566</v>
      </c>
      <c r="AC21" s="10" t="str">
        <f aca="false">IF(J21="","",IF(X21&lt;J21,"خسارة",IF(AND(Z21&gt;=$B$14,Y21&gt;=$B$15),"جيد",IF(Y21&gt;=$B$15,"هامش منخفض - مقبول","ربح ضعيف - راجعي"))))</f>
        <v>هامش منخفض - مقبول</v>
      </c>
      <c r="AD21" s="15" t="s">
        <v>62</v>
      </c>
    </row>
    <row r="22" customFormat="false" ht="15" hidden="false" customHeight="true" outlineLevel="0" collapsed="false">
      <c r="A22" s="10" t="s">
        <v>52</v>
      </c>
      <c r="B22" s="10" t="s">
        <v>63</v>
      </c>
      <c r="C22" s="11" t="n">
        <v>8900</v>
      </c>
      <c r="D22" s="19" t="n">
        <v>10000</v>
      </c>
      <c r="E22" s="12" t="n">
        <f aca="false">IF(D22="","",IF(IF(K22="",D22,K22)&gt;$B$8,$B$7,$B$6))</f>
        <v>400</v>
      </c>
      <c r="F22" s="12" t="n">
        <f aca="false">IF(D22="","",$B$9)</f>
        <v>400</v>
      </c>
      <c r="G22" s="12" t="n">
        <f aca="false">IF(D22="","",D22+E22+F22)</f>
        <v>10800</v>
      </c>
      <c r="H22" s="12" t="n">
        <f aca="false">IF(D22="","",G22*$B$5)</f>
        <v>5994</v>
      </c>
      <c r="I22" s="12" t="n">
        <f aca="false">IF(D22="","",$B$10)</f>
        <v>100</v>
      </c>
      <c r="J22" s="12" t="n">
        <f aca="false">IF(D22="","",H22+I22)</f>
        <v>6094</v>
      </c>
      <c r="K22" s="19" t="n">
        <v>43320</v>
      </c>
      <c r="L22" s="12" t="n">
        <f aca="false">IF(K22="","",K22*$B$5)</f>
        <v>24042.6</v>
      </c>
      <c r="M22" s="14" t="n">
        <f aca="false">IF(K22="","",IFERROR(C22/L22,""))</f>
        <v>0.370176270453279</v>
      </c>
      <c r="N22" s="12" t="n">
        <f aca="false">IF(K22="","",L22*$B$11)</f>
        <v>13223.43</v>
      </c>
      <c r="O22" s="12" t="n">
        <f aca="false">IF(K22="","",L22*$B$12)</f>
        <v>14425.56</v>
      </c>
      <c r="P22" s="12" t="n">
        <f aca="false">IF(D22="","",C22-J22)</f>
        <v>2806</v>
      </c>
      <c r="Q22" s="14" t="n">
        <f aca="false">IF(D22="","",IFERROR((C22-J22)/C22,""))</f>
        <v>0.315280898876404</v>
      </c>
      <c r="R22" s="12" t="n">
        <f aca="false">IF(OR(K22="",D22=""),"",N22-J22)</f>
        <v>7129.43</v>
      </c>
      <c r="S22" s="10" t="str">
        <f aca="false">IF(K22="","ادخلي سعر التجزئة",IF(C22&gt;=L22,"خطر - اغلى من الجديد",IF(M22&gt;$B$13,"تحذير - قريب من الجديد",IF(M22&gt;$B$12,"مراجعة - اعلى من المقترح",IF(M22&lt;$B$11,"فرصة - ممكن ترفعين","جيد")))))</f>
        <v>فرصة - ممكن ترفعين</v>
      </c>
      <c r="T22" s="15"/>
      <c r="U22" s="15" t="s">
        <v>51</v>
      </c>
      <c r="V22" s="16" t="n">
        <v>99</v>
      </c>
      <c r="W22" s="17" t="n">
        <v>1</v>
      </c>
      <c r="X22" s="18" t="n">
        <f aca="false">C22</f>
        <v>8900</v>
      </c>
      <c r="Y22" s="12" t="n">
        <f aca="false">IF(J22="","",X22-J22)</f>
        <v>2806</v>
      </c>
      <c r="Z22" s="14" t="n">
        <f aca="false">IF(J22="","",IFERROR((X22-J22)/X22,""))</f>
        <v>0.315280898876404</v>
      </c>
      <c r="AA22" s="12" t="n">
        <f aca="false">IF(J22="","",ROUND(J22/(1-$B$14)/100,0)*100)</f>
        <v>8100</v>
      </c>
      <c r="AB22" s="14" t="n">
        <f aca="false">IF(OR(D22="",K22=""),"",IFERROR(D22/K22,""))</f>
        <v>0.23084025854109</v>
      </c>
      <c r="AC22" s="10" t="str">
        <f aca="false">IF(J22="","",IF(X22&lt;J22,"خسارة",IF(AND(Z22&gt;=$B$14,Y22&gt;=$B$15),"جيد",IF(Y22&gt;=$B$15,"هامش منخفض - مقبول","ربح ضعيف - راجعي"))))</f>
        <v>جيد</v>
      </c>
      <c r="AD22" s="15" t="s">
        <v>64</v>
      </c>
    </row>
    <row r="23" customFormat="false" ht="15" hidden="false" customHeight="true" outlineLevel="0" collapsed="false">
      <c r="A23" s="10" t="s">
        <v>52</v>
      </c>
      <c r="B23" s="10" t="s">
        <v>65</v>
      </c>
      <c r="C23" s="11" t="n">
        <v>7800</v>
      </c>
      <c r="D23" s="19" t="n">
        <v>10500</v>
      </c>
      <c r="E23" s="12" t="n">
        <f aca="false">IF(D23="","",IF(IF(K23="",D23,K23)&gt;$B$8,$B$7,$B$6))</f>
        <v>400</v>
      </c>
      <c r="F23" s="12" t="n">
        <f aca="false">IF(D23="","",$B$9)</f>
        <v>400</v>
      </c>
      <c r="G23" s="12" t="n">
        <f aca="false">IF(D23="","",D23+E23+F23)</f>
        <v>11300</v>
      </c>
      <c r="H23" s="12" t="n">
        <f aca="false">IF(D23="","",G23*$B$5)</f>
        <v>6271.5</v>
      </c>
      <c r="I23" s="12" t="n">
        <f aca="false">IF(D23="","",$B$10)</f>
        <v>100</v>
      </c>
      <c r="J23" s="12" t="n">
        <f aca="false">IF(D23="","",H23+I23)</f>
        <v>6371.5</v>
      </c>
      <c r="K23" s="13" t="n">
        <v>28500</v>
      </c>
      <c r="L23" s="12" t="n">
        <f aca="false">IF(K23="","",K23*$B$5)</f>
        <v>15817.5</v>
      </c>
      <c r="M23" s="14" t="n">
        <f aca="false">IF(K23="","",IFERROR(C23/L23,""))</f>
        <v>0.493124703651019</v>
      </c>
      <c r="N23" s="12" t="n">
        <f aca="false">IF(K23="","",L23*$B$11)</f>
        <v>8699.625</v>
      </c>
      <c r="O23" s="12" t="n">
        <f aca="false">IF(K23="","",L23*$B$12)</f>
        <v>9490.5</v>
      </c>
      <c r="P23" s="12" t="n">
        <f aca="false">IF(D23="","",C23-J23)</f>
        <v>1428.5</v>
      </c>
      <c r="Q23" s="14" t="n">
        <f aca="false">IF(D23="","",IFERROR((C23-J23)/C23,""))</f>
        <v>0.183141025641026</v>
      </c>
      <c r="R23" s="12" t="n">
        <f aca="false">IF(OR(K23="",D23=""),"",N23-J23)</f>
        <v>2328.125</v>
      </c>
      <c r="S23" s="10" t="str">
        <f aca="false">IF(K23="","ادخلي سعر التجزئة",IF(C23&gt;=L23,"خطر - اغلى من الجديد",IF(M23&gt;$B$13,"تحذير - قريب من الجديد",IF(M23&gt;$B$12,"مراجعة - اعلى من المقترح",IF(M23&lt;$B$11,"فرصة - ممكن ترفعين","جيد")))))</f>
        <v>فرصة - ممكن ترفعين</v>
      </c>
      <c r="T23" s="15" t="s">
        <v>66</v>
      </c>
      <c r="U23" s="15" t="s">
        <v>51</v>
      </c>
      <c r="V23" s="16" t="n">
        <v>99</v>
      </c>
      <c r="W23" s="17" t="n">
        <v>1</v>
      </c>
      <c r="X23" s="18" t="n">
        <f aca="false">C23</f>
        <v>7800</v>
      </c>
      <c r="Y23" s="12" t="n">
        <f aca="false">IF(J23="","",X23-J23)</f>
        <v>1428.5</v>
      </c>
      <c r="Z23" s="14" t="n">
        <f aca="false">IF(J23="","",IFERROR((X23-J23)/X23,""))</f>
        <v>0.183141025641026</v>
      </c>
      <c r="AA23" s="12" t="n">
        <f aca="false">IF(J23="","",ROUND(J23/(1-$B$14)/100,0)*100)</f>
        <v>8500</v>
      </c>
      <c r="AB23" s="14" t="n">
        <f aca="false">IF(OR(D23="",K23=""),"",IFERROR(D23/K23,""))</f>
        <v>0.368421052631579</v>
      </c>
      <c r="AC23" s="10" t="str">
        <f aca="false">IF(J23="","",IF(X23&lt;J23,"خسارة",IF(AND(Z23&gt;=$B$14,Y23&gt;=$B$15),"جيد",IF(Y23&gt;=$B$15,"هامش منخفض - مقبول","ربح ضعيف - راجعي"))))</f>
        <v>هامش منخفض - مقبول</v>
      </c>
      <c r="AD23" s="15" t="s">
        <v>67</v>
      </c>
    </row>
    <row r="24" customFormat="false" ht="15" hidden="false" customHeight="true" outlineLevel="0" collapsed="false">
      <c r="A24" s="10" t="s">
        <v>48</v>
      </c>
      <c r="B24" s="10" t="s">
        <v>68</v>
      </c>
      <c r="C24" s="11" t="n">
        <v>7800</v>
      </c>
      <c r="D24" s="19" t="n">
        <v>9500</v>
      </c>
      <c r="E24" s="12" t="n">
        <f aca="false">IF(D24="","",IF(IF(K24="",D24,K24)&gt;$B$8,$B$7,$B$6))</f>
        <v>400</v>
      </c>
      <c r="F24" s="12" t="n">
        <f aca="false">IF(D24="","",$B$9)</f>
        <v>400</v>
      </c>
      <c r="G24" s="12" t="n">
        <f aca="false">IF(D24="","",D24+E24+F24)</f>
        <v>10300</v>
      </c>
      <c r="H24" s="12" t="n">
        <f aca="false">IF(D24="","",G24*$B$5)</f>
        <v>5716.5</v>
      </c>
      <c r="I24" s="12" t="n">
        <f aca="false">IF(D24="","",$B$10)</f>
        <v>100</v>
      </c>
      <c r="J24" s="12" t="n">
        <f aca="false">IF(D24="","",H24+I24)</f>
        <v>5816.5</v>
      </c>
      <c r="K24" s="13" t="n">
        <v>34000</v>
      </c>
      <c r="L24" s="12" t="n">
        <f aca="false">IF(K24="","",K24*$B$5)</f>
        <v>18870</v>
      </c>
      <c r="M24" s="14" t="n">
        <f aca="false">IF(K24="","",IFERROR(C24/L24,""))</f>
        <v>0.41335453100159</v>
      </c>
      <c r="N24" s="12" t="n">
        <f aca="false">IF(K24="","",L24*$B$11)</f>
        <v>10378.5</v>
      </c>
      <c r="O24" s="12" t="n">
        <f aca="false">IF(K24="","",L24*$B$12)</f>
        <v>11322</v>
      </c>
      <c r="P24" s="12" t="n">
        <f aca="false">IF(D24="","",C24-J24)</f>
        <v>1983.5</v>
      </c>
      <c r="Q24" s="14" t="n">
        <f aca="false">IF(D24="","",IFERROR((C24-J24)/C24,""))</f>
        <v>0.254294871794872</v>
      </c>
      <c r="R24" s="12" t="n">
        <f aca="false">IF(OR(K24="",D24=""),"",N24-J24)</f>
        <v>4562</v>
      </c>
      <c r="S24" s="10" t="str">
        <f aca="false">IF(K24="","ادخلي سعر التجزئة",IF(C24&gt;=L24,"خطر - اغلى من الجديد",IF(M24&gt;$B$13,"تحذير - قريب من الجديد",IF(M24&gt;$B$12,"مراجعة - اعلى من المقترح",IF(M24&lt;$B$11,"فرصة - ممكن ترفعين","جيد")))))</f>
        <v>فرصة - ممكن ترفعين</v>
      </c>
      <c r="T24" s="15" t="s">
        <v>69</v>
      </c>
      <c r="U24" s="15" t="s">
        <v>51</v>
      </c>
      <c r="V24" s="16" t="n">
        <v>99</v>
      </c>
      <c r="W24" s="17" t="n">
        <v>1</v>
      </c>
      <c r="X24" s="18" t="n">
        <f aca="false">C24</f>
        <v>7800</v>
      </c>
      <c r="Y24" s="12" t="n">
        <f aca="false">IF(J24="","",X24-J24)</f>
        <v>1983.5</v>
      </c>
      <c r="Z24" s="14" t="n">
        <f aca="false">IF(J24="","",IFERROR((X24-J24)/X24,""))</f>
        <v>0.254294871794872</v>
      </c>
      <c r="AA24" s="12" t="n">
        <f aca="false">IF(J24="","",ROUND(J24/(1-$B$14)/100,0)*100)</f>
        <v>7800</v>
      </c>
      <c r="AB24" s="14" t="n">
        <f aca="false">IF(OR(D24="",K24=""),"",IFERROR(D24/K24,""))</f>
        <v>0.279411764705882</v>
      </c>
      <c r="AC24" s="10" t="str">
        <f aca="false">IF(J24="","",IF(X24&lt;J24,"خسارة",IF(AND(Z24&gt;=$B$14,Y24&gt;=$B$15),"جيد",IF(Y24&gt;=$B$15,"هامش منخفض - مقبول","ربح ضعيف - راجعي"))))</f>
        <v>جيد</v>
      </c>
      <c r="AD24" s="15"/>
    </row>
    <row r="25" customFormat="false" ht="15" hidden="false" customHeight="true" outlineLevel="0" collapsed="false">
      <c r="A25" s="10" t="s">
        <v>48</v>
      </c>
      <c r="B25" s="10" t="s">
        <v>70</v>
      </c>
      <c r="C25" s="11" t="n">
        <v>7200</v>
      </c>
      <c r="D25" s="19" t="n">
        <v>10000</v>
      </c>
      <c r="E25" s="12" t="n">
        <f aca="false">IF(D25="","",IF(IF(K25="",D25,K25)&gt;$B$8,$B$7,$B$6))</f>
        <v>400</v>
      </c>
      <c r="F25" s="12" t="n">
        <f aca="false">IF(D25="","",$B$9)</f>
        <v>400</v>
      </c>
      <c r="G25" s="12" t="n">
        <f aca="false">IF(D25="","",D25+E25+F25)</f>
        <v>10800</v>
      </c>
      <c r="H25" s="12" t="n">
        <f aca="false">IF(D25="","",G25*$B$5)</f>
        <v>5994</v>
      </c>
      <c r="I25" s="12" t="n">
        <f aca="false">IF(D25="","",$B$10)</f>
        <v>100</v>
      </c>
      <c r="J25" s="12" t="n">
        <f aca="false">IF(D25="","",H25+I25)</f>
        <v>6094</v>
      </c>
      <c r="K25" s="19" t="n">
        <v>27500</v>
      </c>
      <c r="L25" s="12" t="n">
        <f aca="false">IF(K25="","",K25*$B$5)</f>
        <v>15262.5</v>
      </c>
      <c r="M25" s="14" t="n">
        <f aca="false">IF(K25="","",IFERROR(C25/L25,""))</f>
        <v>0.471744471744472</v>
      </c>
      <c r="N25" s="12" t="n">
        <f aca="false">IF(K25="","",L25*$B$11)</f>
        <v>8394.375</v>
      </c>
      <c r="O25" s="12" t="n">
        <f aca="false">IF(K25="","",L25*$B$12)</f>
        <v>9157.5</v>
      </c>
      <c r="P25" s="12" t="n">
        <f aca="false">IF(D25="","",C25-J25)</f>
        <v>1106</v>
      </c>
      <c r="Q25" s="14" t="n">
        <f aca="false">IF(D25="","",IFERROR((C25-J25)/C25,""))</f>
        <v>0.153611111111111</v>
      </c>
      <c r="R25" s="12" t="n">
        <f aca="false">IF(OR(K25="",D25=""),"",N25-J25)</f>
        <v>2300.375</v>
      </c>
      <c r="S25" s="10" t="str">
        <f aca="false">IF(K25="","ادخلي سعر التجزئة",IF(C25&gt;=L25,"خطر - اغلى من الجديد",IF(M25&gt;$B$13,"تحذير - قريب من الجديد",IF(M25&gt;$B$12,"مراجعة - اعلى من المقترح",IF(M25&lt;$B$11,"فرصة - ممكن ترفعين","جيد")))))</f>
        <v>فرصة - ممكن ترفعين</v>
      </c>
      <c r="T25" s="15" t="s">
        <v>71</v>
      </c>
      <c r="U25" s="15" t="s">
        <v>51</v>
      </c>
      <c r="V25" s="16" t="n">
        <v>99</v>
      </c>
      <c r="W25" s="17" t="n">
        <v>1</v>
      </c>
      <c r="X25" s="18" t="n">
        <f aca="false">C25</f>
        <v>7200</v>
      </c>
      <c r="Y25" s="12" t="n">
        <f aca="false">IF(J25="","",X25-J25)</f>
        <v>1106</v>
      </c>
      <c r="Z25" s="14" t="n">
        <f aca="false">IF(J25="","",IFERROR((X25-J25)/X25,""))</f>
        <v>0.153611111111111</v>
      </c>
      <c r="AA25" s="12" t="n">
        <f aca="false">IF(J25="","",ROUND(J25/(1-$B$14)/100,0)*100)</f>
        <v>8100</v>
      </c>
      <c r="AB25" s="14" t="n">
        <f aca="false">IF(OR(D25="",K25=""),"",IFERROR(D25/K25,""))</f>
        <v>0.363636363636364</v>
      </c>
      <c r="AC25" s="10" t="str">
        <f aca="false">IF(J25="","",IF(X25&lt;J25,"خسارة",IF(AND(Z25&gt;=$B$14,Y25&gt;=$B$15),"جيد",IF(Y25&gt;=$B$15,"هامش منخفض - مقبول","ربح ضعيف - راجعي"))))</f>
        <v>هامش منخفض - مقبول</v>
      </c>
      <c r="AD25" s="15" t="s">
        <v>72</v>
      </c>
    </row>
    <row r="26" customFormat="false" ht="15" hidden="false" customHeight="true" outlineLevel="0" collapsed="false">
      <c r="A26" s="10" t="s">
        <v>52</v>
      </c>
      <c r="B26" s="10" t="s">
        <v>73</v>
      </c>
      <c r="C26" s="11" t="n">
        <v>8300</v>
      </c>
      <c r="D26" s="19" t="n">
        <v>8200</v>
      </c>
      <c r="E26" s="12" t="n">
        <f aca="false">IF(D26="","",IF(IF(K26="",D26,K26)&gt;$B$8,$B$7,$B$6))</f>
        <v>400</v>
      </c>
      <c r="F26" s="12" t="n">
        <f aca="false">IF(D26="","",$B$9)</f>
        <v>400</v>
      </c>
      <c r="G26" s="12" t="n">
        <f aca="false">IF(D26="","",D26+E26+F26)</f>
        <v>9000</v>
      </c>
      <c r="H26" s="12" t="n">
        <f aca="false">IF(D26="","",G26*$B$5)</f>
        <v>4995</v>
      </c>
      <c r="I26" s="12" t="n">
        <f aca="false">IF(D26="","",$B$10)</f>
        <v>100</v>
      </c>
      <c r="J26" s="12" t="n">
        <f aca="false">IF(D26="","",H26+I26)</f>
        <v>5095</v>
      </c>
      <c r="K26" s="19" t="n">
        <v>26500</v>
      </c>
      <c r="L26" s="12" t="n">
        <f aca="false">IF(K26="","",K26*$B$5)</f>
        <v>14707.5</v>
      </c>
      <c r="M26" s="14" t="n">
        <f aca="false">IF(K26="","",IFERROR(C26/L26,""))</f>
        <v>0.564337922828489</v>
      </c>
      <c r="N26" s="12" t="n">
        <f aca="false">IF(K26="","",L26*$B$11)</f>
        <v>8089.125</v>
      </c>
      <c r="O26" s="12" t="n">
        <f aca="false">IF(K26="","",L26*$B$12)</f>
        <v>8824.5</v>
      </c>
      <c r="P26" s="12" t="n">
        <f aca="false">IF(D26="","",C26-J26)</f>
        <v>3205</v>
      </c>
      <c r="Q26" s="14" t="n">
        <f aca="false">IF(D26="","",IFERROR((C26-J26)/C26,""))</f>
        <v>0.386144578313253</v>
      </c>
      <c r="R26" s="12" t="n">
        <f aca="false">IF(OR(K26="",D26=""),"",N26-J26)</f>
        <v>2994.125</v>
      </c>
      <c r="S26" s="10" t="str">
        <f aca="false">IF(K26="","ادخلي سعر التجزئة",IF(C26&gt;=L26,"خطر - اغلى من الجديد",IF(M26&gt;$B$13,"تحذير - قريب من الجديد",IF(M26&gt;$B$12,"مراجعة - اعلى من المقترح",IF(M26&lt;$B$11,"فرصة - ممكن ترفعين","جيد")))))</f>
        <v>جيد</v>
      </c>
      <c r="T26" s="15"/>
      <c r="U26" s="15" t="s">
        <v>74</v>
      </c>
      <c r="V26" s="16" t="n">
        <v>98</v>
      </c>
      <c r="W26" s="17" t="n">
        <v>1</v>
      </c>
      <c r="X26" s="18" t="n">
        <f aca="false">C26</f>
        <v>8300</v>
      </c>
      <c r="Y26" s="12" t="n">
        <f aca="false">IF(J26="","",X26-J26)</f>
        <v>3205</v>
      </c>
      <c r="Z26" s="14" t="n">
        <f aca="false">IF(J26="","",IFERROR((X26-J26)/X26,""))</f>
        <v>0.386144578313253</v>
      </c>
      <c r="AA26" s="12" t="n">
        <f aca="false">IF(J26="","",ROUND(J26/(1-$B$14)/100,0)*100)</f>
        <v>6800</v>
      </c>
      <c r="AB26" s="14" t="n">
        <f aca="false">IF(OR(D26="",K26=""),"",IFERROR(D26/K26,""))</f>
        <v>0.309433962264151</v>
      </c>
      <c r="AC26" s="10" t="str">
        <f aca="false">IF(J26="","",IF(X26&lt;J26,"خسارة",IF(AND(Z26&gt;=$B$14,Y26&gt;=$B$15),"جيد",IF(Y26&gt;=$B$15,"هامش منخفض - مقبول","ربح ضعيف - راجعي"))))</f>
        <v>جيد</v>
      </c>
      <c r="AD26" s="15" t="s">
        <v>75</v>
      </c>
    </row>
    <row r="27" customFormat="false" ht="15" hidden="false" customHeight="true" outlineLevel="0" collapsed="false">
      <c r="A27" s="10" t="s">
        <v>43</v>
      </c>
      <c r="B27" s="10" t="s">
        <v>76</v>
      </c>
      <c r="C27" s="11" t="n">
        <v>9500</v>
      </c>
      <c r="D27" s="19" t="n">
        <v>7500</v>
      </c>
      <c r="E27" s="12" t="n">
        <f aca="false">IF(D27="","",IF(IF(K27="",D27,K27)&gt;$B$8,$B$7,$B$6))</f>
        <v>400</v>
      </c>
      <c r="F27" s="12" t="n">
        <f aca="false">IF(D27="","",$B$9)</f>
        <v>400</v>
      </c>
      <c r="G27" s="12" t="n">
        <f aca="false">IF(D27="","",D27+E27+F27)</f>
        <v>8300</v>
      </c>
      <c r="H27" s="12" t="n">
        <f aca="false">IF(D27="","",G27*$B$5)</f>
        <v>4606.5</v>
      </c>
      <c r="I27" s="12" t="n">
        <f aca="false">IF(D27="","",$B$10)</f>
        <v>100</v>
      </c>
      <c r="J27" s="12" t="n">
        <f aca="false">IF(D27="","",H27+I27)</f>
        <v>4706.5</v>
      </c>
      <c r="K27" s="19" t="n">
        <v>29400</v>
      </c>
      <c r="L27" s="12" t="n">
        <f aca="false">IF(K27="","",K27*$B$5)</f>
        <v>16317</v>
      </c>
      <c r="M27" s="14" t="n">
        <f aca="false">IF(K27="","",IFERROR(C27/L27,""))</f>
        <v>0.582214867929154</v>
      </c>
      <c r="N27" s="12" t="n">
        <f aca="false">IF(K27="","",L27*$B$11)</f>
        <v>8974.35</v>
      </c>
      <c r="O27" s="12" t="n">
        <f aca="false">IF(K27="","",L27*$B$12)</f>
        <v>9790.2</v>
      </c>
      <c r="P27" s="12" t="n">
        <f aca="false">IF(D27="","",C27-J27)</f>
        <v>4793.5</v>
      </c>
      <c r="Q27" s="14" t="n">
        <f aca="false">IF(D27="","",IFERROR((C27-J27)/C27,""))</f>
        <v>0.504578947368421</v>
      </c>
      <c r="R27" s="12" t="n">
        <f aca="false">IF(OR(K27="",D27=""),"",N27-J27)</f>
        <v>4267.85</v>
      </c>
      <c r="S27" s="10" t="str">
        <f aca="false">IF(K27="","ادخلي سعر التجزئة",IF(C27&gt;=L27,"خطر - اغلى من الجديد",IF(M27&gt;$B$13,"تحذير - قريب من الجديد",IF(M27&gt;$B$12,"مراجعة - اعلى من المقترح",IF(M27&lt;$B$11,"فرصة - ممكن ترفعين","جيد")))))</f>
        <v>جيد</v>
      </c>
      <c r="T27" s="15"/>
      <c r="U27" s="15" t="s">
        <v>77</v>
      </c>
      <c r="V27" s="16" t="n">
        <v>95</v>
      </c>
      <c r="W27" s="17" t="n">
        <v>1</v>
      </c>
      <c r="X27" s="18" t="n">
        <f aca="false">C27</f>
        <v>9500</v>
      </c>
      <c r="Y27" s="12" t="n">
        <f aca="false">IF(J27="","",X27-J27)</f>
        <v>4793.5</v>
      </c>
      <c r="Z27" s="14" t="n">
        <f aca="false">IF(J27="","",IFERROR((X27-J27)/X27,""))</f>
        <v>0.504578947368421</v>
      </c>
      <c r="AA27" s="12" t="n">
        <f aca="false">IF(J27="","",ROUND(J27/(1-$B$14)/100,0)*100)</f>
        <v>6300</v>
      </c>
      <c r="AB27" s="14" t="n">
        <f aca="false">IF(OR(D27="",K27=""),"",IFERROR(D27/K27,""))</f>
        <v>0.255102040816327</v>
      </c>
      <c r="AC27" s="10" t="str">
        <f aca="false">IF(J27="","",IF(X27&lt;J27,"خسارة",IF(AND(Z27&gt;=$B$14,Y27&gt;=$B$15),"جيد",IF(Y27&gt;=$B$15,"هامش منخفض - مقبول","ربح ضعيف - راجعي"))))</f>
        <v>جيد</v>
      </c>
      <c r="AD27" s="15" t="s">
        <v>78</v>
      </c>
    </row>
    <row r="28" customFormat="false" ht="15" hidden="false" customHeight="true" outlineLevel="0" collapsed="false">
      <c r="A28" s="10" t="s">
        <v>48</v>
      </c>
      <c r="B28" s="10" t="s">
        <v>79</v>
      </c>
      <c r="C28" s="11" t="n">
        <v>6200</v>
      </c>
      <c r="D28" s="19" t="n">
        <v>7500</v>
      </c>
      <c r="E28" s="12" t="n">
        <f aca="false">IF(D28="","",IF(IF(K28="",D28,K28)&gt;$B$8,$B$7,$B$6))</f>
        <v>400</v>
      </c>
      <c r="F28" s="12" t="n">
        <f aca="false">IF(D28="","",$B$9)</f>
        <v>400</v>
      </c>
      <c r="G28" s="12" t="n">
        <f aca="false">IF(D28="","",D28+E28+F28)</f>
        <v>8300</v>
      </c>
      <c r="H28" s="12" t="n">
        <f aca="false">IF(D28="","",G28*$B$5)</f>
        <v>4606.5</v>
      </c>
      <c r="I28" s="12" t="n">
        <f aca="false">IF(D28="","",$B$10)</f>
        <v>100</v>
      </c>
      <c r="J28" s="12" t="n">
        <f aca="false">IF(D28="","",H28+I28)</f>
        <v>4706.5</v>
      </c>
      <c r="K28" s="19" t="n">
        <v>20000</v>
      </c>
      <c r="L28" s="12" t="n">
        <f aca="false">IF(K28="","",K28*$B$5)</f>
        <v>11100</v>
      </c>
      <c r="M28" s="14" t="n">
        <f aca="false">IF(K28="","",IFERROR(C28/L28,""))</f>
        <v>0.558558558558559</v>
      </c>
      <c r="N28" s="12" t="n">
        <f aca="false">IF(K28="","",L28*$B$11)</f>
        <v>6105</v>
      </c>
      <c r="O28" s="12" t="n">
        <f aca="false">IF(K28="","",L28*$B$12)</f>
        <v>6660</v>
      </c>
      <c r="P28" s="12" t="n">
        <f aca="false">IF(D28="","",C28-J28)</f>
        <v>1493.5</v>
      </c>
      <c r="Q28" s="14" t="n">
        <f aca="false">IF(D28="","",IFERROR((C28-J28)/C28,""))</f>
        <v>0.240887096774194</v>
      </c>
      <c r="R28" s="12" t="n">
        <f aca="false">IF(OR(K28="",D28=""),"",N28-J28)</f>
        <v>1398.5</v>
      </c>
      <c r="S28" s="10" t="str">
        <f aca="false">IF(K28="","ادخلي سعر التجزئة",IF(C28&gt;=L28,"خطر - اغلى من الجديد",IF(M28&gt;$B$13,"تحذير - قريب من الجديد",IF(M28&gt;$B$12,"مراجعة - اعلى من المقترح",IF(M28&lt;$B$11,"فرصة - ممكن ترفعين","جيد")))))</f>
        <v>جيد</v>
      </c>
      <c r="T28" s="15"/>
      <c r="U28" s="15" t="s">
        <v>51</v>
      </c>
      <c r="V28" s="16" t="n">
        <v>99</v>
      </c>
      <c r="W28" s="17" t="n">
        <v>1</v>
      </c>
      <c r="X28" s="18" t="n">
        <f aca="false">C28</f>
        <v>6200</v>
      </c>
      <c r="Y28" s="12" t="n">
        <f aca="false">IF(J28="","",X28-J28)</f>
        <v>1493.5</v>
      </c>
      <c r="Z28" s="14" t="n">
        <f aca="false">IF(J28="","",IFERROR((X28-J28)/X28,""))</f>
        <v>0.240887096774194</v>
      </c>
      <c r="AA28" s="12" t="n">
        <f aca="false">IF(J28="","",ROUND(J28/(1-$B$14)/100,0)*100)</f>
        <v>6300</v>
      </c>
      <c r="AB28" s="14" t="n">
        <f aca="false">IF(OR(D28="",K28=""),"",IFERROR(D28/K28,""))</f>
        <v>0.375</v>
      </c>
      <c r="AC28" s="10" t="str">
        <f aca="false">IF(J28="","",IF(X28&lt;J28,"خسارة",IF(AND(Z28&gt;=$B$14,Y28&gt;=$B$15),"جيد",IF(Y28&gt;=$B$15,"هامش منخفض - مقبول","ربح ضعيف - راجعي"))))</f>
        <v>هامش منخفض - مقبول</v>
      </c>
      <c r="AD28" s="15" t="s">
        <v>80</v>
      </c>
    </row>
    <row r="29" customFormat="false" ht="15" hidden="false" customHeight="true" outlineLevel="0" collapsed="false">
      <c r="A29" s="10" t="s">
        <v>52</v>
      </c>
      <c r="B29" s="10" t="s">
        <v>81</v>
      </c>
      <c r="C29" s="11" t="n">
        <v>6000</v>
      </c>
      <c r="D29" s="19" t="n">
        <v>7500</v>
      </c>
      <c r="E29" s="12" t="n">
        <f aca="false">IF(D29="","",IF(IF(K29="",D29,K29)&gt;$B$8,$B$7,$B$6))</f>
        <v>400</v>
      </c>
      <c r="F29" s="12" t="n">
        <f aca="false">IF(D29="","",$B$9)</f>
        <v>400</v>
      </c>
      <c r="G29" s="12" t="n">
        <f aca="false">IF(D29="","",D29+E29+F29)</f>
        <v>8300</v>
      </c>
      <c r="H29" s="12" t="n">
        <f aca="false">IF(D29="","",G29*$B$5)</f>
        <v>4606.5</v>
      </c>
      <c r="I29" s="12" t="n">
        <f aca="false">IF(D29="","",$B$10)</f>
        <v>100</v>
      </c>
      <c r="J29" s="12" t="n">
        <f aca="false">IF(D29="","",H29+I29)</f>
        <v>4706.5</v>
      </c>
      <c r="K29" s="19" t="n">
        <v>16800</v>
      </c>
      <c r="L29" s="12" t="n">
        <f aca="false">IF(K29="","",K29*$B$5)</f>
        <v>9324</v>
      </c>
      <c r="M29" s="14" t="n">
        <f aca="false">IF(K29="","",IFERROR(C29/L29,""))</f>
        <v>0.643500643500644</v>
      </c>
      <c r="N29" s="12" t="n">
        <f aca="false">IF(K29="","",L29*$B$11)</f>
        <v>5128.2</v>
      </c>
      <c r="O29" s="12" t="n">
        <f aca="false">IF(K29="","",L29*$B$12)</f>
        <v>5594.4</v>
      </c>
      <c r="P29" s="12" t="n">
        <f aca="false">IF(D29="","",C29-J29)</f>
        <v>1293.5</v>
      </c>
      <c r="Q29" s="14" t="n">
        <f aca="false">IF(D29="","",IFERROR((C29-J29)/C29,""))</f>
        <v>0.215583333333333</v>
      </c>
      <c r="R29" s="12" t="n">
        <f aca="false">IF(OR(K29="",D29=""),"",N29-J29)</f>
        <v>421.700000000001</v>
      </c>
      <c r="S29" s="10" t="str">
        <f aca="false">IF(K29="","ادخلي سعر التجزئة",IF(C29&gt;=L29,"خطر - اغلى من الجديد",IF(M29&gt;$B$13,"تحذير - قريب من الجديد",IF(M29&gt;$B$12,"مراجعة - اعلى من المقترح",IF(M29&lt;$B$11,"فرصة - ممكن ترفعين","جيد")))))</f>
        <v>مراجعة - اعلى من المقترح</v>
      </c>
      <c r="T29" s="15"/>
      <c r="U29" s="15" t="s">
        <v>51</v>
      </c>
      <c r="V29" s="16" t="n">
        <v>99</v>
      </c>
      <c r="W29" s="17" t="n">
        <v>1</v>
      </c>
      <c r="X29" s="18" t="n">
        <f aca="false">C29</f>
        <v>6000</v>
      </c>
      <c r="Y29" s="12" t="n">
        <f aca="false">IF(J29="","",X29-J29)</f>
        <v>1293.5</v>
      </c>
      <c r="Z29" s="14" t="n">
        <f aca="false">IF(J29="","",IFERROR((X29-J29)/X29,""))</f>
        <v>0.215583333333333</v>
      </c>
      <c r="AA29" s="12" t="n">
        <f aca="false">IF(J29="","",ROUND(J29/(1-$B$14)/100,0)*100)</f>
        <v>6300</v>
      </c>
      <c r="AB29" s="14" t="n">
        <f aca="false">IF(OR(D29="",K29=""),"",IFERROR(D29/K29,""))</f>
        <v>0.446428571428571</v>
      </c>
      <c r="AC29" s="10" t="str">
        <f aca="false">IF(J29="","",IF(X29&lt;J29,"خسارة",IF(AND(Z29&gt;=$B$14,Y29&gt;=$B$15),"جيد",IF(Y29&gt;=$B$15,"هامش منخفض - مقبول","ربح ضعيف - راجعي"))))</f>
        <v>هامش منخفض - مقبول</v>
      </c>
      <c r="AD29" s="15" t="s">
        <v>82</v>
      </c>
    </row>
    <row r="30" customFormat="false" ht="15" hidden="false" customHeight="true" outlineLevel="0" collapsed="false">
      <c r="A30" s="10" t="s">
        <v>83</v>
      </c>
      <c r="B30" s="10" t="s">
        <v>84</v>
      </c>
      <c r="C30" s="11" t="n">
        <v>5700</v>
      </c>
      <c r="D30" s="19" t="n">
        <v>7500</v>
      </c>
      <c r="E30" s="12" t="n">
        <f aca="false">IF(D30="","",IF(IF(K30="",D30,K30)&gt;$B$8,$B$7,$B$6))</f>
        <v>400</v>
      </c>
      <c r="F30" s="12" t="n">
        <f aca="false">IF(D30="","",$B$9)</f>
        <v>400</v>
      </c>
      <c r="G30" s="12" t="n">
        <f aca="false">IF(D30="","",D30+E30+F30)</f>
        <v>8300</v>
      </c>
      <c r="H30" s="12" t="n">
        <f aca="false">IF(D30="","",G30*$B$5)</f>
        <v>4606.5</v>
      </c>
      <c r="I30" s="12" t="n">
        <f aca="false">IF(D30="","",$B$10)</f>
        <v>100</v>
      </c>
      <c r="J30" s="12" t="n">
        <f aca="false">IF(D30="","",H30+I30)</f>
        <v>4706.5</v>
      </c>
      <c r="K30" s="19" t="n">
        <v>22500</v>
      </c>
      <c r="L30" s="12" t="n">
        <f aca="false">IF(K30="","",K30*$B$5)</f>
        <v>12487.5</v>
      </c>
      <c r="M30" s="14" t="n">
        <f aca="false">IF(K30="","",IFERROR(C30/L30,""))</f>
        <v>0.456456456456456</v>
      </c>
      <c r="N30" s="12" t="n">
        <f aca="false">IF(K30="","",L30*$B$11)</f>
        <v>6868.125</v>
      </c>
      <c r="O30" s="12" t="n">
        <f aca="false">IF(K30="","",L30*$B$12)</f>
        <v>7492.5</v>
      </c>
      <c r="P30" s="12" t="n">
        <f aca="false">IF(D30="","",C30-J30)</f>
        <v>993.5</v>
      </c>
      <c r="Q30" s="14" t="n">
        <f aca="false">IF(D30="","",IFERROR((C30-J30)/C30,""))</f>
        <v>0.174298245614035</v>
      </c>
      <c r="R30" s="12" t="n">
        <f aca="false">IF(OR(K30="",D30=""),"",N30-J30)</f>
        <v>2161.625</v>
      </c>
      <c r="S30" s="10" t="str">
        <f aca="false">IF(K30="","ادخلي سعر التجزئة",IF(C30&gt;=L30,"خطر - اغلى من الجديد",IF(M30&gt;$B$13,"تحذير - قريب من الجديد",IF(M30&gt;$B$12,"مراجعة - اعلى من المقترح",IF(M30&lt;$B$11,"فرصة - ممكن ترفعين","جيد")))))</f>
        <v>فرصة - ممكن ترفعين</v>
      </c>
      <c r="T30" s="15" t="s">
        <v>71</v>
      </c>
      <c r="U30" s="15" t="s">
        <v>55</v>
      </c>
      <c r="V30" s="16" t="n">
        <v>98</v>
      </c>
      <c r="W30" s="17" t="n">
        <v>1</v>
      </c>
      <c r="X30" s="18" t="n">
        <f aca="false">C30</f>
        <v>5700</v>
      </c>
      <c r="Y30" s="12" t="n">
        <f aca="false">IF(J30="","",X30-J30)</f>
        <v>993.5</v>
      </c>
      <c r="Z30" s="14" t="n">
        <f aca="false">IF(J30="","",IFERROR((X30-J30)/X30,""))</f>
        <v>0.174298245614035</v>
      </c>
      <c r="AA30" s="12" t="n">
        <f aca="false">IF(J30="","",ROUND(J30/(1-$B$14)/100,0)*100)</f>
        <v>6300</v>
      </c>
      <c r="AB30" s="14" t="n">
        <f aca="false">IF(OR(D30="",K30=""),"",IFERROR(D30/K30,""))</f>
        <v>0.333333333333333</v>
      </c>
      <c r="AC30" s="10" t="str">
        <f aca="false">IF(J30="","",IF(X30&lt;J30,"خسارة",IF(AND(Z30&gt;=$B$14,Y30&gt;=$B$15),"جيد",IF(Y30&gt;=$B$15,"هامش منخفض - مقبول","ربح ضعيف - راجعي"))))</f>
        <v>هامش منخفض - مقبول</v>
      </c>
      <c r="AD30" s="15" t="s">
        <v>85</v>
      </c>
    </row>
    <row r="31" customFormat="false" ht="15" hidden="false" customHeight="true" outlineLevel="0" collapsed="false">
      <c r="A31" s="10" t="s">
        <v>48</v>
      </c>
      <c r="B31" s="10" t="s">
        <v>86</v>
      </c>
      <c r="C31" s="11" t="n">
        <v>5900</v>
      </c>
      <c r="D31" s="19" t="n">
        <v>6800</v>
      </c>
      <c r="E31" s="12" t="n">
        <f aca="false">IF(D31="","",IF(IF(K31="",D31,K31)&gt;$B$8,$B$7,$B$6))</f>
        <v>400</v>
      </c>
      <c r="F31" s="12" t="n">
        <f aca="false">IF(D31="","",$B$9)</f>
        <v>400</v>
      </c>
      <c r="G31" s="12" t="n">
        <f aca="false">IF(D31="","",D31+E31+F31)</f>
        <v>7600</v>
      </c>
      <c r="H31" s="12" t="n">
        <f aca="false">IF(D31="","",G31*$B$5)</f>
        <v>4218</v>
      </c>
      <c r="I31" s="12" t="n">
        <f aca="false">IF(D31="","",$B$10)</f>
        <v>100</v>
      </c>
      <c r="J31" s="12" t="n">
        <f aca="false">IF(D31="","",H31+I31)</f>
        <v>4318</v>
      </c>
      <c r="K31" s="19" t="n">
        <v>22000</v>
      </c>
      <c r="L31" s="12" t="n">
        <f aca="false">IF(K31="","",K31*$B$5)</f>
        <v>12210</v>
      </c>
      <c r="M31" s="14" t="n">
        <f aca="false">IF(K31="","",IFERROR(C31/L31,""))</f>
        <v>0.483210483210483</v>
      </c>
      <c r="N31" s="12" t="n">
        <f aca="false">IF(K31="","",L31*$B$11)</f>
        <v>6715.5</v>
      </c>
      <c r="O31" s="12" t="n">
        <f aca="false">IF(K31="","",L31*$B$12)</f>
        <v>7326</v>
      </c>
      <c r="P31" s="12" t="n">
        <f aca="false">IF(D31="","",C31-J31)</f>
        <v>1582</v>
      </c>
      <c r="Q31" s="14" t="n">
        <f aca="false">IF(D31="","",IFERROR((C31-J31)/C31,""))</f>
        <v>0.268135593220339</v>
      </c>
      <c r="R31" s="12" t="n">
        <f aca="false">IF(OR(K31="",D31=""),"",N31-J31)</f>
        <v>2397.5</v>
      </c>
      <c r="S31" s="10" t="str">
        <f aca="false">IF(K31="","ادخلي سعر التجزئة",IF(C31&gt;=L31,"خطر - اغلى من الجديد",IF(M31&gt;$B$13,"تحذير - قريب من الجديد",IF(M31&gt;$B$12,"مراجعة - اعلى من المقترح",IF(M31&lt;$B$11,"فرصة - ممكن ترفعين","جيد")))))</f>
        <v>فرصة - ممكن ترفعين</v>
      </c>
      <c r="T31" s="15"/>
      <c r="U31" s="15" t="s">
        <v>55</v>
      </c>
      <c r="V31" s="16" t="n">
        <v>98</v>
      </c>
      <c r="W31" s="17" t="n">
        <v>3</v>
      </c>
      <c r="X31" s="18" t="n">
        <f aca="false">C31</f>
        <v>5900</v>
      </c>
      <c r="Y31" s="12" t="n">
        <f aca="false">IF(J31="","",X31-J31)</f>
        <v>1582</v>
      </c>
      <c r="Z31" s="14" t="n">
        <f aca="false">IF(J31="","",IFERROR((X31-J31)/X31,""))</f>
        <v>0.268135593220339</v>
      </c>
      <c r="AA31" s="12" t="n">
        <f aca="false">IF(J31="","",ROUND(J31/(1-$B$14)/100,0)*100)</f>
        <v>5800</v>
      </c>
      <c r="AB31" s="14" t="n">
        <f aca="false">IF(OR(D31="",K31=""),"",IFERROR(D31/K31,""))</f>
        <v>0.309090909090909</v>
      </c>
      <c r="AC31" s="10" t="str">
        <f aca="false">IF(J31="","",IF(X31&lt;J31,"خسارة",IF(AND(Z31&gt;=$B$14,Y31&gt;=$B$15),"جيد",IF(Y31&gt;=$B$15,"هامش منخفض - مقبول","ربح ضعيف - راجعي"))))</f>
        <v>جيد</v>
      </c>
      <c r="AD31" s="15"/>
    </row>
    <row r="32" customFormat="false" ht="15" hidden="false" customHeight="true" outlineLevel="0" collapsed="false">
      <c r="A32" s="10" t="s">
        <v>87</v>
      </c>
      <c r="B32" s="10" t="s">
        <v>88</v>
      </c>
      <c r="C32" s="11" t="n">
        <v>4800</v>
      </c>
      <c r="D32" s="19" t="n">
        <v>5300</v>
      </c>
      <c r="E32" s="12" t="n">
        <f aca="false">IF(D32="","",IF(IF(K32="",D32,K32)&gt;$B$8,$B$7,$B$6))</f>
        <v>400</v>
      </c>
      <c r="F32" s="12" t="n">
        <f aca="false">IF(D32="","",$B$9)</f>
        <v>400</v>
      </c>
      <c r="G32" s="12" t="n">
        <f aca="false">IF(D32="","",D32+E32+F32)</f>
        <v>6100</v>
      </c>
      <c r="H32" s="12" t="n">
        <f aca="false">IF(D32="","",G32*$B$5)</f>
        <v>3385.5</v>
      </c>
      <c r="I32" s="12" t="n">
        <f aca="false">IF(D32="","",$B$10)</f>
        <v>100</v>
      </c>
      <c r="J32" s="12" t="n">
        <f aca="false">IF(D32="","",H32+I32)</f>
        <v>3485.5</v>
      </c>
      <c r="K32" s="19" t="n">
        <v>13500</v>
      </c>
      <c r="L32" s="12" t="n">
        <f aca="false">IF(K32="","",K32*$B$5)</f>
        <v>7492.5</v>
      </c>
      <c r="M32" s="14" t="n">
        <f aca="false">IF(K32="","",IFERROR(C32/L32,""))</f>
        <v>0.640640640640641</v>
      </c>
      <c r="N32" s="12" t="n">
        <f aca="false">IF(K32="","",L32*$B$11)</f>
        <v>4120.875</v>
      </c>
      <c r="O32" s="12" t="n">
        <f aca="false">IF(K32="","",L32*$B$12)</f>
        <v>4495.5</v>
      </c>
      <c r="P32" s="12" t="n">
        <f aca="false">IF(D32="","",C32-J32)</f>
        <v>1314.5</v>
      </c>
      <c r="Q32" s="14" t="n">
        <f aca="false">IF(D32="","",IFERROR((C32-J32)/C32,""))</f>
        <v>0.273854166666667</v>
      </c>
      <c r="R32" s="12" t="n">
        <f aca="false">IF(OR(K32="",D32=""),"",N32-J32)</f>
        <v>635.375000000001</v>
      </c>
      <c r="S32" s="10" t="str">
        <f aca="false">IF(K32="","ادخلي سعر التجزئة",IF(C32&gt;=L32,"خطر - اغلى من الجديد",IF(M32&gt;$B$13,"تحذير - قريب من الجديد",IF(M32&gt;$B$12,"مراجعة - اعلى من المقترح",IF(M32&lt;$B$11,"فرصة - ممكن ترفعين","جيد")))))</f>
        <v>مراجعة - اعلى من المقترح</v>
      </c>
      <c r="T32" s="15"/>
      <c r="U32" s="15" t="s">
        <v>55</v>
      </c>
      <c r="V32" s="16" t="n">
        <v>98</v>
      </c>
      <c r="W32" s="17" t="n">
        <v>2</v>
      </c>
      <c r="X32" s="18" t="n">
        <f aca="false">C32</f>
        <v>4800</v>
      </c>
      <c r="Y32" s="12" t="n">
        <f aca="false">IF(J32="","",X32-J32)</f>
        <v>1314.5</v>
      </c>
      <c r="Z32" s="14" t="n">
        <f aca="false">IF(J32="","",IFERROR((X32-J32)/X32,""))</f>
        <v>0.273854166666667</v>
      </c>
      <c r="AA32" s="12" t="n">
        <f aca="false">IF(J32="","",ROUND(J32/(1-$B$14)/100,0)*100)</f>
        <v>4600</v>
      </c>
      <c r="AB32" s="14" t="n">
        <f aca="false">IF(OR(D32="",K32=""),"",IFERROR(D32/K32,""))</f>
        <v>0.392592592592593</v>
      </c>
      <c r="AC32" s="10" t="str">
        <f aca="false">IF(J32="","",IF(X32&lt;J32,"خسارة",IF(AND(Z32&gt;=$B$14,Y32&gt;=$B$15),"جيد",IF(Y32&gt;=$B$15,"هامش منخفض - مقبول","ربح ضعيف - راجعي"))))</f>
        <v>جيد</v>
      </c>
      <c r="AD32" s="15"/>
    </row>
    <row r="33" customFormat="false" ht="15" hidden="false" customHeight="true" outlineLevel="0" collapsed="false">
      <c r="A33" s="10" t="s">
        <v>52</v>
      </c>
      <c r="B33" s="10" t="s">
        <v>89</v>
      </c>
      <c r="C33" s="11" t="n">
        <v>7000</v>
      </c>
      <c r="D33" s="19" t="n">
        <v>5500</v>
      </c>
      <c r="E33" s="12" t="n">
        <f aca="false">IF(D33="","",IF(IF(K33="",D33,K33)&gt;$B$8,$B$7,$B$6))</f>
        <v>400</v>
      </c>
      <c r="F33" s="12" t="n">
        <f aca="false">IF(D33="","",$B$9)</f>
        <v>400</v>
      </c>
      <c r="G33" s="12" t="n">
        <f aca="false">IF(D33="","",D33+E33+F33)</f>
        <v>6300</v>
      </c>
      <c r="H33" s="12" t="n">
        <f aca="false">IF(D33="","",G33*$B$5)</f>
        <v>3496.5</v>
      </c>
      <c r="I33" s="12" t="n">
        <f aca="false">IF(D33="","",$B$10)</f>
        <v>100</v>
      </c>
      <c r="J33" s="12" t="n">
        <f aca="false">IF(D33="","",H33+I33)</f>
        <v>3596.5</v>
      </c>
      <c r="K33" s="19" t="n">
        <v>25000</v>
      </c>
      <c r="L33" s="12" t="n">
        <f aca="false">IF(K33="","",K33*$B$5)</f>
        <v>13875</v>
      </c>
      <c r="M33" s="14" t="n">
        <f aca="false">IF(K33="","",IFERROR(C33/L33,""))</f>
        <v>0.504504504504505</v>
      </c>
      <c r="N33" s="12" t="n">
        <f aca="false">IF(K33="","",L33*$B$11)</f>
        <v>7631.25</v>
      </c>
      <c r="O33" s="12" t="n">
        <f aca="false">IF(K33="","",L33*$B$12)</f>
        <v>8325</v>
      </c>
      <c r="P33" s="12" t="n">
        <f aca="false">IF(D33="","",C33-J33)</f>
        <v>3403.5</v>
      </c>
      <c r="Q33" s="14" t="n">
        <f aca="false">IF(D33="","",IFERROR((C33-J33)/C33,""))</f>
        <v>0.486214285714286</v>
      </c>
      <c r="R33" s="12" t="n">
        <f aca="false">IF(OR(K33="",D33=""),"",N33-J33)</f>
        <v>4034.75</v>
      </c>
      <c r="S33" s="10" t="str">
        <f aca="false">IF(K33="","ادخلي سعر التجزئة",IF(C33&gt;=L33,"خطر - اغلى من الجديد",IF(M33&gt;$B$13,"تحذير - قريب من الجديد",IF(M33&gt;$B$12,"مراجعة - اعلى من المقترح",IF(M33&lt;$B$11,"فرصة - ممكن ترفعين","جيد")))))</f>
        <v>فرصة - ممكن ترفعين</v>
      </c>
      <c r="T33" s="15"/>
      <c r="U33" s="15" t="s">
        <v>90</v>
      </c>
      <c r="V33" s="16" t="n">
        <v>97</v>
      </c>
      <c r="W33" s="17" t="n">
        <v>1</v>
      </c>
      <c r="X33" s="18" t="n">
        <f aca="false">C33</f>
        <v>7000</v>
      </c>
      <c r="Y33" s="12" t="n">
        <f aca="false">IF(J33="","",X33-J33)</f>
        <v>3403.5</v>
      </c>
      <c r="Z33" s="14" t="n">
        <f aca="false">IF(J33="","",IFERROR((X33-J33)/X33,""))</f>
        <v>0.486214285714286</v>
      </c>
      <c r="AA33" s="12" t="n">
        <f aca="false">IF(J33="","",ROUND(J33/(1-$B$14)/100,0)*100)</f>
        <v>4800</v>
      </c>
      <c r="AB33" s="14" t="n">
        <f aca="false">IF(OR(D33="",K33=""),"",IFERROR(D33/K33,""))</f>
        <v>0.22</v>
      </c>
      <c r="AC33" s="10" t="str">
        <f aca="false">IF(J33="","",IF(X33&lt;J33,"خسارة",IF(AND(Z33&gt;=$B$14,Y33&gt;=$B$15),"جيد",IF(Y33&gt;=$B$15,"هامش منخفض - مقبول","ربح ضعيف - راجعي"))))</f>
        <v>جيد</v>
      </c>
      <c r="AD33" s="15" t="s">
        <v>91</v>
      </c>
    </row>
    <row r="34" customFormat="false" ht="15" hidden="false" customHeight="true" outlineLevel="0" collapsed="false">
      <c r="A34" s="10" t="s">
        <v>48</v>
      </c>
      <c r="B34" s="10" t="s">
        <v>92</v>
      </c>
      <c r="C34" s="11" t="n">
        <v>4900</v>
      </c>
      <c r="D34" s="19" t="n">
        <v>5500</v>
      </c>
      <c r="E34" s="12" t="n">
        <f aca="false">IF(D34="","",IF(IF(K34="",D34,K34)&gt;$B$8,$B$7,$B$6))</f>
        <v>400</v>
      </c>
      <c r="F34" s="12" t="n">
        <f aca="false">IF(D34="","",$B$9)</f>
        <v>400</v>
      </c>
      <c r="G34" s="12" t="n">
        <f aca="false">IF(D34="","",D34+E34+F34)</f>
        <v>6300</v>
      </c>
      <c r="H34" s="12" t="n">
        <f aca="false">IF(D34="","",G34*$B$5)</f>
        <v>3496.5</v>
      </c>
      <c r="I34" s="12" t="n">
        <f aca="false">IF(D34="","",$B$10)</f>
        <v>100</v>
      </c>
      <c r="J34" s="12" t="n">
        <f aca="false">IF(D34="","",H34+I34)</f>
        <v>3596.5</v>
      </c>
      <c r="K34" s="19" t="n">
        <v>22000</v>
      </c>
      <c r="L34" s="12" t="n">
        <f aca="false">IF(K34="","",K34*$B$5)</f>
        <v>12210</v>
      </c>
      <c r="M34" s="14" t="n">
        <f aca="false">IF(K34="","",IFERROR(C34/L34,""))</f>
        <v>0.401310401310401</v>
      </c>
      <c r="N34" s="12" t="n">
        <f aca="false">IF(K34="","",L34*$B$11)</f>
        <v>6715.5</v>
      </c>
      <c r="O34" s="12" t="n">
        <f aca="false">IF(K34="","",L34*$B$12)</f>
        <v>7326</v>
      </c>
      <c r="P34" s="12" t="n">
        <f aca="false">IF(D34="","",C34-J34)</f>
        <v>1303.5</v>
      </c>
      <c r="Q34" s="14" t="n">
        <f aca="false">IF(D34="","",IFERROR((C34-J34)/C34,""))</f>
        <v>0.266020408163265</v>
      </c>
      <c r="R34" s="12" t="n">
        <f aca="false">IF(OR(K34="",D34=""),"",N34-J34)</f>
        <v>3119</v>
      </c>
      <c r="S34" s="10" t="str">
        <f aca="false">IF(K34="","ادخلي سعر التجزئة",IF(C34&gt;=L34,"خطر - اغلى من الجديد",IF(M34&gt;$B$13,"تحذير - قريب من الجديد",IF(M34&gt;$B$12,"مراجعة - اعلى من المقترح",IF(M34&lt;$B$11,"فرصة - ممكن ترفعين","جيد")))))</f>
        <v>فرصة - ممكن ترفعين</v>
      </c>
      <c r="T34" s="15"/>
      <c r="U34" s="15" t="s">
        <v>93</v>
      </c>
      <c r="V34" s="16" t="n">
        <v>95</v>
      </c>
      <c r="W34" s="17" t="n">
        <v>2</v>
      </c>
      <c r="X34" s="18" t="n">
        <f aca="false">C34</f>
        <v>4900</v>
      </c>
      <c r="Y34" s="12" t="n">
        <f aca="false">IF(J34="","",X34-J34)</f>
        <v>1303.5</v>
      </c>
      <c r="Z34" s="14" t="n">
        <f aca="false">IF(J34="","",IFERROR((X34-J34)/X34,""))</f>
        <v>0.266020408163265</v>
      </c>
      <c r="AA34" s="12" t="n">
        <f aca="false">IF(J34="","",ROUND(J34/(1-$B$14)/100,0)*100)</f>
        <v>4800</v>
      </c>
      <c r="AB34" s="14" t="n">
        <f aca="false">IF(OR(D34="",K34=""),"",IFERROR(D34/K34,""))</f>
        <v>0.25</v>
      </c>
      <c r="AC34" s="10" t="str">
        <f aca="false">IF(J34="","",IF(X34&lt;J34,"خسارة",IF(AND(Z34&gt;=$B$14,Y34&gt;=$B$15),"جيد",IF(Y34&gt;=$B$15,"هامش منخفض - مقبول","ربح ضعيف - راجعي"))))</f>
        <v>جيد</v>
      </c>
      <c r="AD34" s="15" t="s">
        <v>94</v>
      </c>
    </row>
    <row r="35" customFormat="false" ht="15" hidden="false" customHeight="true" outlineLevel="0" collapsed="false">
      <c r="A35" s="10" t="s">
        <v>95</v>
      </c>
      <c r="B35" s="10" t="s">
        <v>96</v>
      </c>
      <c r="C35" s="11" t="n">
        <v>4200</v>
      </c>
      <c r="D35" s="19" t="n">
        <v>4800</v>
      </c>
      <c r="E35" s="12" t="n">
        <f aca="false">IF(D35="","",IF(IF(K35="",D35,K35)&gt;$B$8,$B$7,$B$6))</f>
        <v>400</v>
      </c>
      <c r="F35" s="12" t="n">
        <f aca="false">IF(D35="","",$B$9)</f>
        <v>400</v>
      </c>
      <c r="G35" s="12" t="n">
        <f aca="false">IF(D35="","",D35+E35+F35)</f>
        <v>5600</v>
      </c>
      <c r="H35" s="12" t="n">
        <f aca="false">IF(D35="","",G35*$B$5)</f>
        <v>3108</v>
      </c>
      <c r="I35" s="12" t="n">
        <f aca="false">IF(D35="","",$B$10)</f>
        <v>100</v>
      </c>
      <c r="J35" s="12" t="n">
        <f aca="false">IF(D35="","",H35+I35)</f>
        <v>3208</v>
      </c>
      <c r="K35" s="19" t="n">
        <v>12500</v>
      </c>
      <c r="L35" s="12" t="n">
        <f aca="false">IF(K35="","",K35*$B$5)</f>
        <v>6937.5</v>
      </c>
      <c r="M35" s="14" t="n">
        <f aca="false">IF(K35="","",IFERROR(C35/L35,""))</f>
        <v>0.605405405405405</v>
      </c>
      <c r="N35" s="12" t="n">
        <f aca="false">IF(K35="","",L35*$B$11)</f>
        <v>3815.625</v>
      </c>
      <c r="O35" s="12" t="n">
        <f aca="false">IF(K35="","",L35*$B$12)</f>
        <v>4162.5</v>
      </c>
      <c r="P35" s="12" t="n">
        <f aca="false">IF(D35="","",C35-J35)</f>
        <v>992</v>
      </c>
      <c r="Q35" s="14" t="n">
        <f aca="false">IF(D35="","",IFERROR((C35-J35)/C35,""))</f>
        <v>0.236190476190476</v>
      </c>
      <c r="R35" s="12" t="n">
        <f aca="false">IF(OR(K35="",D35=""),"",N35-J35)</f>
        <v>607.625000000001</v>
      </c>
      <c r="S35" s="10" t="str">
        <f aca="false">IF(K35="","ادخلي سعر التجزئة",IF(C35&gt;=L35,"خطر - اغلى من الجديد",IF(M35&gt;$B$13,"تحذير - قريب من الجديد",IF(M35&gt;$B$12,"مراجعة - اعلى من المقترح",IF(M35&lt;$B$11,"فرصة - ممكن ترفعين","جيد")))))</f>
        <v>مراجعة - اعلى من المقترح</v>
      </c>
      <c r="T35" s="15"/>
      <c r="U35" s="15" t="s">
        <v>51</v>
      </c>
      <c r="V35" s="16" t="n">
        <v>99</v>
      </c>
      <c r="W35" s="17" t="n">
        <v>2</v>
      </c>
      <c r="X35" s="18" t="n">
        <f aca="false">C35</f>
        <v>4200</v>
      </c>
      <c r="Y35" s="12" t="n">
        <f aca="false">IF(J35="","",X35-J35)</f>
        <v>992</v>
      </c>
      <c r="Z35" s="14" t="n">
        <f aca="false">IF(J35="","",IFERROR((X35-J35)/X35,""))</f>
        <v>0.236190476190476</v>
      </c>
      <c r="AA35" s="12" t="n">
        <f aca="false">IF(J35="","",ROUND(J35/(1-$B$14)/100,0)*100)</f>
        <v>4300</v>
      </c>
      <c r="AB35" s="14" t="n">
        <f aca="false">IF(OR(D35="",K35=""),"",IFERROR(D35/K35,""))</f>
        <v>0.384</v>
      </c>
      <c r="AC35" s="10" t="str">
        <f aca="false">IF(J35="","",IF(X35&lt;J35,"خسارة",IF(AND(Z35&gt;=$B$14,Y35&gt;=$B$15),"جيد",IF(Y35&gt;=$B$15,"هامش منخفض - مقبول","ربح ضعيف - راجعي"))))</f>
        <v>هامش منخفض - مقبول</v>
      </c>
      <c r="AD35" s="15" t="s">
        <v>97</v>
      </c>
    </row>
    <row r="36" customFormat="false" ht="15" hidden="false" customHeight="true" outlineLevel="0" collapsed="false">
      <c r="A36" s="10" t="s">
        <v>48</v>
      </c>
      <c r="B36" s="10" t="s">
        <v>98</v>
      </c>
      <c r="C36" s="11" t="n">
        <v>4800</v>
      </c>
      <c r="D36" s="19" t="n">
        <v>4300</v>
      </c>
      <c r="E36" s="12" t="n">
        <f aca="false">IF(D36="","",IF(IF(K36="",D36,K36)&gt;$B$8,$B$7,$B$6))</f>
        <v>400</v>
      </c>
      <c r="F36" s="12" t="n">
        <f aca="false">IF(D36="","",$B$9)</f>
        <v>400</v>
      </c>
      <c r="G36" s="12" t="n">
        <f aca="false">IF(D36="","",D36+E36+F36)</f>
        <v>5100</v>
      </c>
      <c r="H36" s="12" t="n">
        <f aca="false">IF(D36="","",G36*$B$5)</f>
        <v>2830.5</v>
      </c>
      <c r="I36" s="12" t="n">
        <f aca="false">IF(D36="","",$B$10)</f>
        <v>100</v>
      </c>
      <c r="J36" s="12" t="n">
        <f aca="false">IF(D36="","",H36+I36)</f>
        <v>2930.5</v>
      </c>
      <c r="K36" s="19" t="n">
        <v>12400</v>
      </c>
      <c r="L36" s="12" t="n">
        <f aca="false">IF(K36="","",K36*$B$5)</f>
        <v>6882</v>
      </c>
      <c r="M36" s="14" t="n">
        <f aca="false">IF(K36="","",IFERROR(C36/L36,""))</f>
        <v>0.697471665213601</v>
      </c>
      <c r="N36" s="12" t="n">
        <f aca="false">IF(K36="","",L36*$B$11)</f>
        <v>3785.1</v>
      </c>
      <c r="O36" s="12" t="n">
        <f aca="false">IF(K36="","",L36*$B$12)</f>
        <v>4129.2</v>
      </c>
      <c r="P36" s="12" t="n">
        <f aca="false">IF(D36="","",C36-J36)</f>
        <v>1869.5</v>
      </c>
      <c r="Q36" s="14" t="n">
        <f aca="false">IF(D36="","",IFERROR((C36-J36)/C36,""))</f>
        <v>0.389479166666667</v>
      </c>
      <c r="R36" s="12" t="n">
        <f aca="false">IF(OR(K36="",D36=""),"",N36-J36)</f>
        <v>854.6</v>
      </c>
      <c r="S36" s="10" t="str">
        <f aca="false">IF(K36="","ادخلي سعر التجزئة",IF(C36&gt;=L36,"خطر - اغلى من الجديد",IF(M36&gt;$B$13,"تحذير - قريب من الجديد",IF(M36&gt;$B$12,"مراجعة - اعلى من المقترح",IF(M36&lt;$B$11,"فرصة - ممكن ترفعين","جيد")))))</f>
        <v>مراجعة - اعلى من المقترح</v>
      </c>
      <c r="T36" s="15"/>
      <c r="U36" s="15" t="s">
        <v>55</v>
      </c>
      <c r="V36" s="16" t="n">
        <v>98</v>
      </c>
      <c r="W36" s="17" t="n">
        <v>2</v>
      </c>
      <c r="X36" s="18" t="n">
        <f aca="false">C36</f>
        <v>4800</v>
      </c>
      <c r="Y36" s="12" t="n">
        <f aca="false">IF(J36="","",X36-J36)</f>
        <v>1869.5</v>
      </c>
      <c r="Z36" s="14" t="n">
        <f aca="false">IF(J36="","",IFERROR((X36-J36)/X36,""))</f>
        <v>0.389479166666667</v>
      </c>
      <c r="AA36" s="12" t="n">
        <f aca="false">IF(J36="","",ROUND(J36/(1-$B$14)/100,0)*100)</f>
        <v>3900</v>
      </c>
      <c r="AB36" s="14" t="n">
        <f aca="false">IF(OR(D36="",K36=""),"",IFERROR(D36/K36,""))</f>
        <v>0.346774193548387</v>
      </c>
      <c r="AC36" s="10" t="str">
        <f aca="false">IF(J36="","",IF(X36&lt;J36,"خسارة",IF(AND(Z36&gt;=$B$14,Y36&gt;=$B$15),"جيد",IF(Y36&gt;=$B$15,"هامش منخفض - مقبول","ربح ضعيف - راجعي"))))</f>
        <v>جيد</v>
      </c>
      <c r="AD36" s="15" t="s">
        <v>99</v>
      </c>
    </row>
    <row r="37" customFormat="false" ht="15" hidden="false" customHeight="true" outlineLevel="0" collapsed="false">
      <c r="A37" s="10" t="s">
        <v>95</v>
      </c>
      <c r="B37" s="10" t="s">
        <v>100</v>
      </c>
      <c r="C37" s="11" t="n">
        <v>4000</v>
      </c>
      <c r="D37" s="19" t="n">
        <v>4600</v>
      </c>
      <c r="E37" s="12" t="n">
        <f aca="false">IF(D37="","",IF(IF(K37="",D37,K37)&gt;$B$8,$B$7,$B$6))</f>
        <v>400</v>
      </c>
      <c r="F37" s="12" t="n">
        <f aca="false">IF(D37="","",$B$9)</f>
        <v>400</v>
      </c>
      <c r="G37" s="12" t="n">
        <f aca="false">IF(D37="","",D37+E37+F37)</f>
        <v>5400</v>
      </c>
      <c r="H37" s="12" t="n">
        <f aca="false">IF(D37="","",G37*$B$5)</f>
        <v>2997</v>
      </c>
      <c r="I37" s="12" t="n">
        <f aca="false">IF(D37="","",$B$10)</f>
        <v>100</v>
      </c>
      <c r="J37" s="12" t="n">
        <f aca="false">IF(D37="","",H37+I37)</f>
        <v>3097</v>
      </c>
      <c r="K37" s="19" t="n">
        <v>20000</v>
      </c>
      <c r="L37" s="12" t="n">
        <f aca="false">IF(K37="","",K37*$B$5)</f>
        <v>11100</v>
      </c>
      <c r="M37" s="14" t="n">
        <f aca="false">IF(K37="","",IFERROR(C37/L37,""))</f>
        <v>0.36036036036036</v>
      </c>
      <c r="N37" s="12" t="n">
        <f aca="false">IF(K37="","",L37*$B$11)</f>
        <v>6105</v>
      </c>
      <c r="O37" s="12" t="n">
        <f aca="false">IF(K37="","",L37*$B$12)</f>
        <v>6660</v>
      </c>
      <c r="P37" s="12" t="n">
        <f aca="false">IF(D37="","",C37-J37)</f>
        <v>903</v>
      </c>
      <c r="Q37" s="14" t="n">
        <f aca="false">IF(D37="","",IFERROR((C37-J37)/C37,""))</f>
        <v>0.22575</v>
      </c>
      <c r="R37" s="12" t="n">
        <f aca="false">IF(OR(K37="",D37=""),"",N37-J37)</f>
        <v>3008</v>
      </c>
      <c r="S37" s="10" t="str">
        <f aca="false">IF(K37="","ادخلي سعر التجزئة",IF(C37&gt;=L37,"خطر - اغلى من الجديد",IF(M37&gt;$B$13,"تحذير - قريب من الجديد",IF(M37&gt;$B$12,"مراجعة - اعلى من المقترح",IF(M37&lt;$B$11,"فرصة - ممكن ترفعين","جيد")))))</f>
        <v>فرصة - ممكن ترفعين</v>
      </c>
      <c r="T37" s="15"/>
      <c r="U37" s="15" t="s">
        <v>101</v>
      </c>
      <c r="V37" s="16" t="n">
        <v>87</v>
      </c>
      <c r="W37" s="17" t="n">
        <v>1</v>
      </c>
      <c r="X37" s="18" t="n">
        <f aca="false">C37</f>
        <v>4000</v>
      </c>
      <c r="Y37" s="12" t="n">
        <f aca="false">IF(J37="","",X37-J37)</f>
        <v>903</v>
      </c>
      <c r="Z37" s="14" t="n">
        <f aca="false">IF(J37="","",IFERROR((X37-J37)/X37,""))</f>
        <v>0.22575</v>
      </c>
      <c r="AA37" s="12" t="n">
        <f aca="false">IF(J37="","",ROUND(J37/(1-$B$14)/100,0)*100)</f>
        <v>4100</v>
      </c>
      <c r="AB37" s="14" t="n">
        <f aca="false">IF(OR(D37="",K37=""),"",IFERROR(D37/K37,""))</f>
        <v>0.23</v>
      </c>
      <c r="AC37" s="10" t="str">
        <f aca="false">IF(J37="","",IF(X37&lt;J37,"خسارة",IF(AND(Z37&gt;=$B$14,Y37&gt;=$B$15),"جيد",IF(Y37&gt;=$B$15,"هامش منخفض - مقبول","ربح ضعيف - راجعي"))))</f>
        <v>هامش منخفض - مقبول</v>
      </c>
      <c r="AD37" s="15" t="s">
        <v>102</v>
      </c>
    </row>
    <row r="38" customFormat="false" ht="15" hidden="false" customHeight="true" outlineLevel="0" collapsed="false">
      <c r="A38" s="10" t="s">
        <v>48</v>
      </c>
      <c r="B38" s="10" t="s">
        <v>103</v>
      </c>
      <c r="C38" s="11" t="n">
        <v>3500</v>
      </c>
      <c r="D38" s="19" t="n">
        <v>3500</v>
      </c>
      <c r="E38" s="12" t="n">
        <f aca="false">IF(D38="","",IF(IF(K38="",D38,K38)&gt;$B$8,$B$7,$B$6))</f>
        <v>400</v>
      </c>
      <c r="F38" s="12" t="n">
        <f aca="false">IF(D38="","",$B$9)</f>
        <v>400</v>
      </c>
      <c r="G38" s="12" t="n">
        <f aca="false">IF(D38="","",D38+E38+F38)</f>
        <v>4300</v>
      </c>
      <c r="H38" s="12" t="n">
        <f aca="false">IF(D38="","",G38*$B$5)</f>
        <v>2386.5</v>
      </c>
      <c r="I38" s="12" t="n">
        <f aca="false">IF(D38="","",$B$10)</f>
        <v>100</v>
      </c>
      <c r="J38" s="12" t="n">
        <f aca="false">IF(D38="","",H38+I38)</f>
        <v>2486.5</v>
      </c>
      <c r="K38" s="19" t="n">
        <v>26000</v>
      </c>
      <c r="L38" s="12" t="n">
        <f aca="false">IF(K38="","",K38*$B$5)</f>
        <v>14430</v>
      </c>
      <c r="M38" s="14" t="n">
        <f aca="false">IF(K38="","",IFERROR(C38/L38,""))</f>
        <v>0.242550242550243</v>
      </c>
      <c r="N38" s="12" t="n">
        <f aca="false">IF(K38="","",L38*$B$11)</f>
        <v>7936.5</v>
      </c>
      <c r="O38" s="12" t="n">
        <f aca="false">IF(K38="","",L38*$B$12)</f>
        <v>8658</v>
      </c>
      <c r="P38" s="12" t="n">
        <f aca="false">IF(D38="","",C38-J38)</f>
        <v>1013.5</v>
      </c>
      <c r="Q38" s="14" t="n">
        <f aca="false">IF(D38="","",IFERROR((C38-J38)/C38,""))</f>
        <v>0.289571428571429</v>
      </c>
      <c r="R38" s="12" t="n">
        <f aca="false">IF(OR(K38="",D38=""),"",N38-J38)</f>
        <v>5450</v>
      </c>
      <c r="S38" s="10" t="str">
        <f aca="false">IF(K38="","ادخلي سعر التجزئة",IF(C38&gt;=L38,"خطر - اغلى من الجديد",IF(M38&gt;$B$13,"تحذير - قريب من الجديد",IF(M38&gt;$B$12,"مراجعة - اعلى من المقترح",IF(M38&lt;$B$11,"فرصة - ممكن ترفعين","جيد")))))</f>
        <v>فرصة - ممكن ترفعين</v>
      </c>
      <c r="T38" s="15"/>
      <c r="U38" s="15" t="s">
        <v>104</v>
      </c>
      <c r="V38" s="16" t="n">
        <v>92</v>
      </c>
      <c r="W38" s="17" t="n">
        <v>1</v>
      </c>
      <c r="X38" s="18" t="n">
        <f aca="false">C38</f>
        <v>3500</v>
      </c>
      <c r="Y38" s="12" t="n">
        <f aca="false">IF(J38="","",X38-J38)</f>
        <v>1013.5</v>
      </c>
      <c r="Z38" s="14" t="n">
        <f aca="false">IF(J38="","",IFERROR((X38-J38)/X38,""))</f>
        <v>0.289571428571429</v>
      </c>
      <c r="AA38" s="12" t="n">
        <f aca="false">IF(J38="","",ROUND(J38/(1-$B$14)/100,0)*100)</f>
        <v>3300</v>
      </c>
      <c r="AB38" s="14" t="n">
        <f aca="false">IF(OR(D38="",K38=""),"",IFERROR(D38/K38,""))</f>
        <v>0.134615384615385</v>
      </c>
      <c r="AC38" s="10" t="str">
        <f aca="false">IF(J38="","",IF(X38&lt;J38,"خسارة",IF(AND(Z38&gt;=$B$14,Y38&gt;=$B$15),"جيد",IF(Y38&gt;=$B$15,"هامش منخفض - مقبول","ربح ضعيف - راجعي"))))</f>
        <v>جيد</v>
      </c>
      <c r="AD38" s="15"/>
    </row>
    <row r="39" customFormat="false" ht="15" hidden="false" customHeight="true" outlineLevel="0" collapsed="false">
      <c r="A39" s="10" t="s">
        <v>48</v>
      </c>
      <c r="B39" s="10" t="s">
        <v>105</v>
      </c>
      <c r="C39" s="11" t="n">
        <v>3200</v>
      </c>
      <c r="D39" s="19" t="n">
        <v>3300</v>
      </c>
      <c r="E39" s="12" t="n">
        <f aca="false">IF(D39="","",IF(IF(K39="",D39,K39)&gt;$B$8,$B$7,$B$6))</f>
        <v>400</v>
      </c>
      <c r="F39" s="12" t="n">
        <f aca="false">IF(D39="","",$B$9)</f>
        <v>400</v>
      </c>
      <c r="G39" s="12" t="n">
        <f aca="false">IF(D39="","",D39+E39+F39)</f>
        <v>4100</v>
      </c>
      <c r="H39" s="12" t="n">
        <f aca="false">IF(D39="","",G39*$B$5)</f>
        <v>2275.5</v>
      </c>
      <c r="I39" s="12" t="n">
        <f aca="false">IF(D39="","",$B$10)</f>
        <v>100</v>
      </c>
      <c r="J39" s="12" t="n">
        <f aca="false">IF(D39="","",H39+I39)</f>
        <v>2375.5</v>
      </c>
      <c r="K39" s="19" t="n">
        <v>16000</v>
      </c>
      <c r="L39" s="12" t="n">
        <f aca="false">IF(K39="","",K39*$B$5)</f>
        <v>8880</v>
      </c>
      <c r="M39" s="14" t="n">
        <f aca="false">IF(K39="","",IFERROR(C39/L39,""))</f>
        <v>0.36036036036036</v>
      </c>
      <c r="N39" s="12" t="n">
        <f aca="false">IF(K39="","",L39*$B$11)</f>
        <v>4884</v>
      </c>
      <c r="O39" s="12" t="n">
        <f aca="false">IF(K39="","",L39*$B$12)</f>
        <v>5328</v>
      </c>
      <c r="P39" s="12" t="n">
        <f aca="false">IF(D39="","",C39-J39)</f>
        <v>824.5</v>
      </c>
      <c r="Q39" s="14" t="n">
        <f aca="false">IF(D39="","",IFERROR((C39-J39)/C39,""))</f>
        <v>0.25765625</v>
      </c>
      <c r="R39" s="12" t="n">
        <f aca="false">IF(OR(K39="",D39=""),"",N39-J39)</f>
        <v>2508.5</v>
      </c>
      <c r="S39" s="10" t="str">
        <f aca="false">IF(K39="","ادخلي سعر التجزئة",IF(C39&gt;=L39,"خطر - اغلى من الجديد",IF(M39&gt;$B$13,"تحذير - قريب من الجديد",IF(M39&gt;$B$12,"مراجعة - اعلى من المقترح",IF(M39&lt;$B$11,"فرصة - ممكن ترفعين","جيد")))))</f>
        <v>فرصة - ممكن ترفعين</v>
      </c>
      <c r="T39" s="15"/>
      <c r="U39" s="15" t="s">
        <v>51</v>
      </c>
      <c r="V39" s="16" t="n">
        <v>99</v>
      </c>
      <c r="W39" s="17" t="n">
        <v>1</v>
      </c>
      <c r="X39" s="18" t="n">
        <f aca="false">C39</f>
        <v>3200</v>
      </c>
      <c r="Y39" s="12" t="n">
        <f aca="false">IF(J39="","",X39-J39)</f>
        <v>824.5</v>
      </c>
      <c r="Z39" s="14" t="n">
        <f aca="false">IF(J39="","",IFERROR((X39-J39)/X39,""))</f>
        <v>0.25765625</v>
      </c>
      <c r="AA39" s="12" t="n">
        <f aca="false">IF(J39="","",ROUND(J39/(1-$B$14)/100,0)*100)</f>
        <v>3200</v>
      </c>
      <c r="AB39" s="14" t="n">
        <f aca="false">IF(OR(D39="",K39=""),"",IFERROR(D39/K39,""))</f>
        <v>0.20625</v>
      </c>
      <c r="AC39" s="10" t="str">
        <f aca="false">IF(J39="","",IF(X39&lt;J39,"خسارة",IF(AND(Z39&gt;=$B$14,Y39&gt;=$B$15),"جيد",IF(Y39&gt;=$B$15,"هامش منخفض - مقبول","ربح ضعيف - راجعي"))))</f>
        <v>جيد</v>
      </c>
      <c r="AD39" s="15"/>
    </row>
    <row r="40" customFormat="false" ht="15" hidden="false" customHeight="true" outlineLevel="0" collapsed="false">
      <c r="A40" s="10" t="s">
        <v>106</v>
      </c>
      <c r="B40" s="10" t="s">
        <v>107</v>
      </c>
      <c r="C40" s="11" t="n">
        <v>2900</v>
      </c>
      <c r="D40" s="19" t="n">
        <v>2000</v>
      </c>
      <c r="E40" s="12" t="n">
        <f aca="false">IF(D40="","",IF(IF(K40="",D40,K40)&gt;$B$8,$B$7,$B$6))</f>
        <v>400</v>
      </c>
      <c r="F40" s="12" t="n">
        <f aca="false">IF(D40="","",$B$9)</f>
        <v>400</v>
      </c>
      <c r="G40" s="12" t="n">
        <f aca="false">IF(D40="","",D40+E40+F40)</f>
        <v>2800</v>
      </c>
      <c r="H40" s="12" t="n">
        <f aca="false">IF(D40="","",G40*$B$5)</f>
        <v>1554</v>
      </c>
      <c r="I40" s="12" t="n">
        <f aca="false">IF(D40="","",$B$10)</f>
        <v>100</v>
      </c>
      <c r="J40" s="12" t="n">
        <f aca="false">IF(D40="","",H40+I40)</f>
        <v>1654</v>
      </c>
      <c r="K40" s="19" t="n">
        <v>9600</v>
      </c>
      <c r="L40" s="12" t="n">
        <f aca="false">IF(K40="","",K40*$B$5)</f>
        <v>5328</v>
      </c>
      <c r="M40" s="14" t="n">
        <f aca="false">IF(K40="","",IFERROR(C40/L40,""))</f>
        <v>0.544294294294294</v>
      </c>
      <c r="N40" s="12" t="n">
        <f aca="false">IF(K40="","",L40*$B$11)</f>
        <v>2930.4</v>
      </c>
      <c r="O40" s="12" t="n">
        <f aca="false">IF(K40="","",L40*$B$12)</f>
        <v>3196.8</v>
      </c>
      <c r="P40" s="12" t="n">
        <f aca="false">IF(D40="","",C40-J40)</f>
        <v>1246</v>
      </c>
      <c r="Q40" s="14" t="n">
        <f aca="false">IF(D40="","",IFERROR((C40-J40)/C40,""))</f>
        <v>0.429655172413793</v>
      </c>
      <c r="R40" s="12" t="n">
        <f aca="false">IF(OR(K40="",D40=""),"",N40-J40)</f>
        <v>1276.4</v>
      </c>
      <c r="S40" s="10" t="str">
        <f aca="false">IF(K40="","ادخلي سعر التجزئة",IF(C40&gt;=L40,"خطر - اغلى من الجديد",IF(M40&gt;$B$13,"تحذير - قريب من الجديد",IF(M40&gt;$B$12,"مراجعة - اعلى من المقترح",IF(M40&lt;$B$11,"فرصة - ممكن ترفعين","جيد")))))</f>
        <v>فرصة - ممكن ترفعين</v>
      </c>
      <c r="T40" s="15"/>
      <c r="U40" s="15" t="s">
        <v>108</v>
      </c>
      <c r="V40" s="16" t="n">
        <v>97</v>
      </c>
      <c r="W40" s="17" t="n">
        <v>1</v>
      </c>
      <c r="X40" s="18" t="n">
        <f aca="false">C40</f>
        <v>2900</v>
      </c>
      <c r="Y40" s="12" t="n">
        <f aca="false">IF(J40="","",X40-J40)</f>
        <v>1246</v>
      </c>
      <c r="Z40" s="14" t="n">
        <f aca="false">IF(J40="","",IFERROR((X40-J40)/X40,""))</f>
        <v>0.429655172413793</v>
      </c>
      <c r="AA40" s="12" t="n">
        <f aca="false">IF(J40="","",ROUND(J40/(1-$B$14)/100,0)*100)</f>
        <v>2200</v>
      </c>
      <c r="AB40" s="14" t="n">
        <f aca="false">IF(OR(D40="",K40=""),"",IFERROR(D40/K40,""))</f>
        <v>0.208333333333333</v>
      </c>
      <c r="AC40" s="10" t="str">
        <f aca="false">IF(J40="","",IF(X40&lt;J40,"خسارة",IF(AND(Z40&gt;=$B$14,Y40&gt;=$B$15),"جيد",IF(Y40&gt;=$B$15,"هامش منخفض - مقبول","ربح ضعيف - راجعي"))))</f>
        <v>جيد</v>
      </c>
      <c r="AD40" s="15" t="s">
        <v>109</v>
      </c>
    </row>
    <row r="41" customFormat="false" ht="15" hidden="false" customHeight="true" outlineLevel="0" collapsed="false">
      <c r="A41" s="10" t="s">
        <v>43</v>
      </c>
      <c r="B41" s="10" t="s">
        <v>110</v>
      </c>
      <c r="C41" s="11" t="n">
        <v>1550</v>
      </c>
      <c r="D41" s="19" t="n">
        <v>2980</v>
      </c>
      <c r="E41" s="12" t="n">
        <f aca="false">IF(D41="","",IF(IF(K41="",D41,K41)&gt;$B$8,$B$7,$B$6))</f>
        <v>400</v>
      </c>
      <c r="F41" s="12" t="n">
        <f aca="false">IF(D41="","",$B$9)</f>
        <v>400</v>
      </c>
      <c r="G41" s="12" t="n">
        <f aca="false">IF(D41="","",D41+E41+F41)</f>
        <v>3780</v>
      </c>
      <c r="H41" s="12" t="n">
        <f aca="false">IF(D41="","",G41*$B$5)</f>
        <v>2097.9</v>
      </c>
      <c r="I41" s="12" t="n">
        <f aca="false">IF(D41="","",$B$10)</f>
        <v>100</v>
      </c>
      <c r="J41" s="12" t="n">
        <f aca="false">IF(D41="","",H41+I41)</f>
        <v>2197.9</v>
      </c>
      <c r="K41" s="19" t="n">
        <v>5850</v>
      </c>
      <c r="L41" s="12" t="n">
        <f aca="false">IF(K41="","",K41*$B$5)</f>
        <v>3246.75</v>
      </c>
      <c r="M41" s="14" t="n">
        <f aca="false">IF(K41="","",IFERROR(C41/L41,""))</f>
        <v>0.477400477400477</v>
      </c>
      <c r="N41" s="12" t="n">
        <f aca="false">IF(K41="","",L41*$B$11)</f>
        <v>1785.7125</v>
      </c>
      <c r="O41" s="12" t="n">
        <f aca="false">IF(K41="","",L41*$B$12)</f>
        <v>1948.05</v>
      </c>
      <c r="P41" s="12" t="n">
        <f aca="false">IF(D41="","",C41-J41)</f>
        <v>-647.9</v>
      </c>
      <c r="Q41" s="14" t="n">
        <f aca="false">IF(D41="","",IFERROR((C41-J41)/C41,""))</f>
        <v>-0.418</v>
      </c>
      <c r="R41" s="12" t="n">
        <f aca="false">IF(OR(K41="",D41=""),"",N41-J41)</f>
        <v>-412.1875</v>
      </c>
      <c r="S41" s="10" t="str">
        <f aca="false">IF(K41="","ادخلي سعر التجزئة",IF(C41&gt;=L41,"خطر - اغلى من الجديد",IF(M41&gt;$B$13,"تحذير - قريب من الجديد",IF(M41&gt;$B$12,"مراجعة - اعلى من المقترح",IF(M41&lt;$B$11,"فرصة - ممكن ترفعين","جيد")))))</f>
        <v>فرصة - ممكن ترفعين</v>
      </c>
      <c r="T41" s="15" t="s">
        <v>111</v>
      </c>
      <c r="U41" s="15" t="s">
        <v>112</v>
      </c>
      <c r="V41" s="16" t="n">
        <v>95</v>
      </c>
      <c r="W41" s="17" t="n">
        <v>2</v>
      </c>
      <c r="X41" s="18" t="n">
        <f aca="false">C41</f>
        <v>1550</v>
      </c>
      <c r="Y41" s="12" t="n">
        <f aca="false">IF(J41="","",X41-J41)</f>
        <v>-647.9</v>
      </c>
      <c r="Z41" s="14" t="n">
        <f aca="false">IF(J41="","",IFERROR((X41-J41)/X41,""))</f>
        <v>-0.418</v>
      </c>
      <c r="AA41" s="12" t="n">
        <f aca="false">IF(J41="","",ROUND(J41/(1-$B$14)/100,0)*100)</f>
        <v>2900</v>
      </c>
      <c r="AB41" s="14" t="n">
        <f aca="false">IF(OR(D41="",K41=""),"",IFERROR(D41/K41,""))</f>
        <v>0.509401709401709</v>
      </c>
      <c r="AC41" s="10" t="str">
        <f aca="false">IF(J41="","",IF(X41&lt;J41,"خسارة",IF(AND(Z41&gt;=$B$14,Y41&gt;=$B$15),"جيد",IF(Y41&gt;=$B$15,"هامش منخفض - مقبول","ربح ضعيف - راجعي"))))</f>
        <v>خسارة</v>
      </c>
      <c r="AD41" s="15"/>
    </row>
    <row r="42" customFormat="false" ht="15" hidden="false" customHeight="true" outlineLevel="0" collapsed="false">
      <c r="A42" s="10" t="s">
        <v>113</v>
      </c>
      <c r="B42" s="10" t="s">
        <v>114</v>
      </c>
      <c r="C42" s="11" t="n">
        <v>7200</v>
      </c>
      <c r="D42" s="19" t="n">
        <v>5800</v>
      </c>
      <c r="E42" s="12" t="n">
        <f aca="false">IF(D42="","",IF(IF(K42="",D42,K42)&gt;$B$8,$B$7,$B$6))</f>
        <v>400</v>
      </c>
      <c r="F42" s="12" t="n">
        <f aca="false">IF(D42="","",$B$9)</f>
        <v>400</v>
      </c>
      <c r="G42" s="12" t="n">
        <f aca="false">IF(D42="","",D42+E42+F42)</f>
        <v>6600</v>
      </c>
      <c r="H42" s="12" t="n">
        <f aca="false">IF(D42="","",G42*$B$5)</f>
        <v>3663</v>
      </c>
      <c r="I42" s="12" t="n">
        <f aca="false">IF(D42="","",$B$10)</f>
        <v>100</v>
      </c>
      <c r="J42" s="12" t="n">
        <f aca="false">IF(D42="","",H42+I42)</f>
        <v>3763</v>
      </c>
      <c r="K42" s="19"/>
      <c r="L42" s="12" t="str">
        <f aca="false">IF(K42="","",K42*$B$5)</f>
        <v/>
      </c>
      <c r="M42" s="14" t="str">
        <f aca="false">IF(K42="","",IFERROR(C42/L42,""))</f>
        <v/>
      </c>
      <c r="N42" s="12" t="str">
        <f aca="false">IF(K42="","",L42*$B$11)</f>
        <v/>
      </c>
      <c r="O42" s="12" t="str">
        <f aca="false">IF(K42="","",L42*$B$12)</f>
        <v/>
      </c>
      <c r="P42" s="12" t="n">
        <f aca="false">IF(D42="","",C42-J42)</f>
        <v>3437</v>
      </c>
      <c r="Q42" s="14" t="n">
        <f aca="false">IF(D42="","",IFERROR((C42-J42)/C42,""))</f>
        <v>0.477361111111111</v>
      </c>
      <c r="R42" s="12" t="str">
        <f aca="false">IF(OR(K42="",D42=""),"",N42-J42)</f>
        <v/>
      </c>
      <c r="S42" s="10" t="str">
        <f aca="false">IF(K42="","ادخلي سعر التجزئة",IF(C42&gt;=L42,"خطر - اغلى من الجديد",IF(M42&gt;$B$13,"تحذير - قريب من الجديد",IF(M42&gt;$B$12,"مراجعة - اعلى من المقترح",IF(M42&lt;$B$11,"فرصة - ممكن ترفعين","جيد")))))</f>
        <v>ادخلي سعر التجزئة</v>
      </c>
      <c r="T42" s="15" t="s">
        <v>115</v>
      </c>
      <c r="U42" s="15" t="s">
        <v>51</v>
      </c>
      <c r="V42" s="16" t="n">
        <v>99</v>
      </c>
      <c r="W42" s="17" t="n">
        <v>2</v>
      </c>
      <c r="X42" s="18" t="n">
        <f aca="false">C42</f>
        <v>7200</v>
      </c>
      <c r="Y42" s="12" t="n">
        <f aca="false">IF(J42="","",X42-J42)</f>
        <v>3437</v>
      </c>
      <c r="Z42" s="14" t="n">
        <f aca="false">IF(J42="","",IFERROR((X42-J42)/X42,""))</f>
        <v>0.477361111111111</v>
      </c>
      <c r="AA42" s="12" t="n">
        <f aca="false">IF(J42="","",ROUND(J42/(1-$B$14)/100,0)*100)</f>
        <v>5000</v>
      </c>
      <c r="AB42" s="14" t="str">
        <f aca="false">IF(OR(D42="",K42=""),"",IFERROR(D42/K42,""))</f>
        <v/>
      </c>
      <c r="AC42" s="10" t="str">
        <f aca="false">IF(J42="","",IF(X42&lt;J42,"خسارة",IF(AND(Z42&gt;=$B$14,Y42&gt;=$B$15),"جيد",IF(Y42&gt;=$B$15,"هامش منخفض - مقبول","ربح ضعيف - راجعي"))))</f>
        <v>جيد</v>
      </c>
      <c r="AD42" s="15" t="s">
        <v>116</v>
      </c>
    </row>
    <row r="43" customFormat="false" ht="15" hidden="false" customHeight="true" outlineLevel="0" collapsed="false">
      <c r="A43" s="10" t="s">
        <v>113</v>
      </c>
      <c r="B43" s="10" t="s">
        <v>117</v>
      </c>
      <c r="C43" s="11" t="n">
        <v>6000</v>
      </c>
      <c r="D43" s="19" t="n">
        <v>5500</v>
      </c>
      <c r="E43" s="12" t="n">
        <f aca="false">IF(D43="","",IF(IF(K43="",D43,K43)&gt;$B$8,$B$7,$B$6))</f>
        <v>400</v>
      </c>
      <c r="F43" s="12" t="n">
        <f aca="false">IF(D43="","",$B$9)</f>
        <v>400</v>
      </c>
      <c r="G43" s="12" t="n">
        <f aca="false">IF(D43="","",D43+E43+F43)</f>
        <v>6300</v>
      </c>
      <c r="H43" s="12" t="n">
        <f aca="false">IF(D43="","",G43*$B$5)</f>
        <v>3496.5</v>
      </c>
      <c r="I43" s="12" t="n">
        <f aca="false">IF(D43="","",$B$10)</f>
        <v>100</v>
      </c>
      <c r="J43" s="12" t="n">
        <f aca="false">IF(D43="","",H43+I43)</f>
        <v>3596.5</v>
      </c>
      <c r="K43" s="19"/>
      <c r="L43" s="12" t="str">
        <f aca="false">IF(K43="","",K43*$B$5)</f>
        <v/>
      </c>
      <c r="M43" s="14" t="str">
        <f aca="false">IF(K43="","",IFERROR(C43/L43,""))</f>
        <v/>
      </c>
      <c r="N43" s="12" t="str">
        <f aca="false">IF(K43="","",L43*$B$11)</f>
        <v/>
      </c>
      <c r="O43" s="12" t="str">
        <f aca="false">IF(K43="","",L43*$B$12)</f>
        <v/>
      </c>
      <c r="P43" s="12" t="n">
        <f aca="false">IF(D43="","",C43-J43)</f>
        <v>2403.5</v>
      </c>
      <c r="Q43" s="14" t="n">
        <f aca="false">IF(D43="","",IFERROR((C43-J43)/C43,""))</f>
        <v>0.400583333333333</v>
      </c>
      <c r="R43" s="12" t="str">
        <f aca="false">IF(OR(K43="",D43=""),"",N43-J43)</f>
        <v/>
      </c>
      <c r="S43" s="10" t="str">
        <f aca="false">IF(K43="","ادخلي سعر التجزئة",IF(C43&gt;=L43,"خطر - اغلى من الجديد",IF(M43&gt;$B$13,"تحذير - قريب من الجديد",IF(M43&gt;$B$12,"مراجعة - اعلى من المقترح",IF(M43&lt;$B$11,"فرصة - ممكن ترفعين","جيد")))))</f>
        <v>ادخلي سعر التجزئة</v>
      </c>
      <c r="T43" s="15" t="s">
        <v>115</v>
      </c>
      <c r="U43" s="15" t="s">
        <v>118</v>
      </c>
      <c r="V43" s="16" t="n">
        <v>98</v>
      </c>
      <c r="W43" s="17" t="n">
        <v>2</v>
      </c>
      <c r="X43" s="18" t="n">
        <f aca="false">C43</f>
        <v>6000</v>
      </c>
      <c r="Y43" s="12" t="n">
        <f aca="false">IF(J43="","",X43-J43)</f>
        <v>2403.5</v>
      </c>
      <c r="Z43" s="14" t="n">
        <f aca="false">IF(J43="","",IFERROR((X43-J43)/X43,""))</f>
        <v>0.400583333333333</v>
      </c>
      <c r="AA43" s="12" t="n">
        <f aca="false">IF(J43="","",ROUND(J43/(1-$B$14)/100,0)*100)</f>
        <v>4800</v>
      </c>
      <c r="AB43" s="14" t="str">
        <f aca="false">IF(OR(D43="",K43=""),"",IFERROR(D43/K43,""))</f>
        <v/>
      </c>
      <c r="AC43" s="10" t="str">
        <f aca="false">IF(J43="","",IF(X43&lt;J43,"خسارة",IF(AND(Z43&gt;=$B$14,Y43&gt;=$B$15),"جيد",IF(Y43&gt;=$B$15,"هامش منخفض - مقبول","ربح ضعيف - راجعي"))))</f>
        <v>جيد</v>
      </c>
      <c r="AD43" s="15" t="s">
        <v>119</v>
      </c>
    </row>
    <row r="44" customFormat="false" ht="15" hidden="false" customHeight="true" outlineLevel="0" collapsed="false">
      <c r="A44" s="10" t="s">
        <v>113</v>
      </c>
      <c r="B44" s="10" t="s">
        <v>120</v>
      </c>
      <c r="C44" s="11" t="n">
        <v>5500</v>
      </c>
      <c r="D44" s="19" t="n">
        <v>5600</v>
      </c>
      <c r="E44" s="12" t="n">
        <f aca="false">IF(D44="","",IF(IF(K44="",D44,K44)&gt;$B$8,$B$7,$B$6))</f>
        <v>400</v>
      </c>
      <c r="F44" s="12" t="n">
        <f aca="false">IF(D44="","",$B$9)</f>
        <v>400</v>
      </c>
      <c r="G44" s="12" t="n">
        <f aca="false">IF(D44="","",D44+E44+F44)</f>
        <v>6400</v>
      </c>
      <c r="H44" s="12" t="n">
        <f aca="false">IF(D44="","",G44*$B$5)</f>
        <v>3552</v>
      </c>
      <c r="I44" s="12" t="n">
        <f aca="false">IF(D44="","",$B$10)</f>
        <v>100</v>
      </c>
      <c r="J44" s="12" t="n">
        <f aca="false">IF(D44="","",H44+I44)</f>
        <v>3652</v>
      </c>
      <c r="K44" s="19" t="n">
        <v>20900</v>
      </c>
      <c r="L44" s="12" t="n">
        <f aca="false">IF(K44="","",K44*$B$5)</f>
        <v>11599.5</v>
      </c>
      <c r="M44" s="14" t="n">
        <f aca="false">IF(K44="","",IFERROR(C44/L44,""))</f>
        <v>0.474158368895211</v>
      </c>
      <c r="N44" s="12" t="n">
        <f aca="false">IF(K44="","",L44*$B$11)</f>
        <v>6379.725</v>
      </c>
      <c r="O44" s="12" t="n">
        <f aca="false">IF(K44="","",L44*$B$12)</f>
        <v>6959.7</v>
      </c>
      <c r="P44" s="12" t="n">
        <f aca="false">IF(D44="","",C44-J44)</f>
        <v>1848</v>
      </c>
      <c r="Q44" s="14" t="n">
        <f aca="false">IF(D44="","",IFERROR((C44-J44)/C44,""))</f>
        <v>0.336</v>
      </c>
      <c r="R44" s="12" t="n">
        <f aca="false">IF(OR(K44="",D44=""),"",N44-J44)</f>
        <v>2727.725</v>
      </c>
      <c r="S44" s="10" t="str">
        <f aca="false">IF(K44="","ادخلي سعر التجزئة",IF(C44&gt;=L44,"خطر - اغلى من الجديد",IF(M44&gt;$B$13,"تحذير - قريب من الجديد",IF(M44&gt;$B$12,"مراجعة - اعلى من المقترح",IF(M44&lt;$B$11,"فرصة - ممكن ترفعين","جيد")))))</f>
        <v>فرصة - ممكن ترفعين</v>
      </c>
      <c r="T44" s="15" t="s">
        <v>121</v>
      </c>
      <c r="U44" s="15" t="s">
        <v>51</v>
      </c>
      <c r="V44" s="16" t="n">
        <v>99</v>
      </c>
      <c r="W44" s="17" t="n">
        <v>2</v>
      </c>
      <c r="X44" s="18" t="n">
        <f aca="false">C44</f>
        <v>5500</v>
      </c>
      <c r="Y44" s="12" t="n">
        <f aca="false">IF(J44="","",X44-J44)</f>
        <v>1848</v>
      </c>
      <c r="Z44" s="14" t="n">
        <f aca="false">IF(J44="","",IFERROR((X44-J44)/X44,""))</f>
        <v>0.336</v>
      </c>
      <c r="AA44" s="12" t="n">
        <f aca="false">IF(J44="","",ROUND(J44/(1-$B$14)/100,0)*100)</f>
        <v>4900</v>
      </c>
      <c r="AB44" s="14" t="n">
        <f aca="false">IF(OR(D44="",K44=""),"",IFERROR(D44/K44,""))</f>
        <v>0.267942583732057</v>
      </c>
      <c r="AC44" s="10" t="str">
        <f aca="false">IF(J44="","",IF(X44&lt;J44,"خسارة",IF(AND(Z44&gt;=$B$14,Y44&gt;=$B$15),"جيد",IF(Y44&gt;=$B$15,"هامش منخفض - مقبول","ربح ضعيف - راجعي"))))</f>
        <v>جيد</v>
      </c>
      <c r="AD44" s="15" t="s">
        <v>122</v>
      </c>
    </row>
    <row r="45" customFormat="false" ht="15" hidden="false" customHeight="true" outlineLevel="0" collapsed="false">
      <c r="A45" s="10" t="s">
        <v>113</v>
      </c>
      <c r="B45" s="10" t="s">
        <v>123</v>
      </c>
      <c r="C45" s="11" t="n">
        <v>7500</v>
      </c>
      <c r="D45" s="19" t="n">
        <v>8500</v>
      </c>
      <c r="E45" s="12" t="n">
        <f aca="false">IF(D45="","",IF(IF(K45="",D45,K45)&gt;$B$8,$B$7,$B$6))</f>
        <v>400</v>
      </c>
      <c r="F45" s="12" t="n">
        <f aca="false">IF(D45="","",$B$9)</f>
        <v>400</v>
      </c>
      <c r="G45" s="12" t="n">
        <f aca="false">IF(D45="","",D45+E45+F45)</f>
        <v>9300</v>
      </c>
      <c r="H45" s="12" t="n">
        <f aca="false">IF(D45="","",G45*$B$5)</f>
        <v>5161.5</v>
      </c>
      <c r="I45" s="12" t="n">
        <f aca="false">IF(D45="","",$B$10)</f>
        <v>100</v>
      </c>
      <c r="J45" s="12" t="n">
        <f aca="false">IF(D45="","",H45+I45)</f>
        <v>5261.5</v>
      </c>
      <c r="K45" s="19" t="n">
        <v>30000</v>
      </c>
      <c r="L45" s="12" t="n">
        <f aca="false">IF(K45="","",K45*$B$5)</f>
        <v>16650</v>
      </c>
      <c r="M45" s="14" t="n">
        <f aca="false">IF(K45="","",IFERROR(C45/L45,""))</f>
        <v>0.45045045045045</v>
      </c>
      <c r="N45" s="12" t="n">
        <f aca="false">IF(K45="","",L45*$B$11)</f>
        <v>9157.5</v>
      </c>
      <c r="O45" s="12" t="n">
        <f aca="false">IF(K45="","",L45*$B$12)</f>
        <v>9990</v>
      </c>
      <c r="P45" s="12" t="n">
        <f aca="false">IF(D45="","",C45-J45)</f>
        <v>2238.5</v>
      </c>
      <c r="Q45" s="14" t="n">
        <f aca="false">IF(D45="","",IFERROR((C45-J45)/C45,""))</f>
        <v>0.298466666666667</v>
      </c>
      <c r="R45" s="12" t="n">
        <f aca="false">IF(OR(K45="",D45=""),"",N45-J45)</f>
        <v>3896</v>
      </c>
      <c r="S45" s="10" t="str">
        <f aca="false">IF(K45="","ادخلي سعر التجزئة",IF(C45&gt;=L45,"خطر - اغلى من الجديد",IF(M45&gt;$B$13,"تحذير - قريب من الجديد",IF(M45&gt;$B$12,"مراجعة - اعلى من المقترح",IF(M45&lt;$B$11,"فرصة - ممكن ترفعين","جيد")))))</f>
        <v>فرصة - ممكن ترفعين</v>
      </c>
      <c r="T45" s="15" t="s">
        <v>124</v>
      </c>
      <c r="U45" s="15" t="s">
        <v>125</v>
      </c>
      <c r="V45" s="16"/>
      <c r="W45" s="17" t="n">
        <v>3</v>
      </c>
      <c r="X45" s="18" t="n">
        <f aca="false">C45</f>
        <v>7500</v>
      </c>
      <c r="Y45" s="12" t="n">
        <f aca="false">IF(J45="","",X45-J45)</f>
        <v>2238.5</v>
      </c>
      <c r="Z45" s="14" t="n">
        <f aca="false">IF(J45="","",IFERROR((X45-J45)/X45,""))</f>
        <v>0.298466666666667</v>
      </c>
      <c r="AA45" s="12" t="n">
        <f aca="false">IF(J45="","",ROUND(J45/(1-$B$14)/100,0)*100)</f>
        <v>7000</v>
      </c>
      <c r="AB45" s="14" t="n">
        <f aca="false">IF(OR(D45="",K45=""),"",IFERROR(D45/K45,""))</f>
        <v>0.283333333333333</v>
      </c>
      <c r="AC45" s="10" t="str">
        <f aca="false">IF(J45="","",IF(X45&lt;J45,"خسارة",IF(AND(Z45&gt;=$B$14,Y45&gt;=$B$15),"جيد",IF(Y45&gt;=$B$15,"هامش منخفض - مقبول","ربح ضعيف - راجعي"))))</f>
        <v>جيد</v>
      </c>
      <c r="AD45" s="15" t="s">
        <v>122</v>
      </c>
    </row>
    <row r="46" customFormat="false" ht="15" hidden="false" customHeight="true" outlineLevel="0" collapsed="false">
      <c r="A46" s="10" t="s">
        <v>52</v>
      </c>
      <c r="B46" s="10" t="s">
        <v>126</v>
      </c>
      <c r="C46" s="11" t="n">
        <v>10500</v>
      </c>
      <c r="D46" s="19" t="n">
        <v>9800</v>
      </c>
      <c r="E46" s="12" t="n">
        <f aca="false">IF(D46="","",IF(IF(K46="",D46,K46)&gt;$B$8,$B$7,$B$6))</f>
        <v>400</v>
      </c>
      <c r="F46" s="12" t="n">
        <f aca="false">IF(D46="","",$B$9)</f>
        <v>400</v>
      </c>
      <c r="G46" s="12" t="n">
        <f aca="false">IF(D46="","",D46+E46+F46)</f>
        <v>10600</v>
      </c>
      <c r="H46" s="12" t="n">
        <f aca="false">IF(D46="","",G46*$B$5)</f>
        <v>5883</v>
      </c>
      <c r="I46" s="12" t="n">
        <f aca="false">IF(D46="","",$B$10)</f>
        <v>100</v>
      </c>
      <c r="J46" s="12" t="n">
        <f aca="false">IF(D46="","",H46+I46)</f>
        <v>5983</v>
      </c>
      <c r="K46" s="19" t="n">
        <v>34000</v>
      </c>
      <c r="L46" s="12" t="n">
        <f aca="false">IF(K46="","",K46*$B$5)</f>
        <v>18870</v>
      </c>
      <c r="M46" s="14" t="n">
        <f aca="false">IF(K46="","",IFERROR(C46/L46,""))</f>
        <v>0.556438791732909</v>
      </c>
      <c r="N46" s="12" t="n">
        <f aca="false">IF(K46="","",L46*$B$11)</f>
        <v>10378.5</v>
      </c>
      <c r="O46" s="12" t="n">
        <f aca="false">IF(K46="","",L46*$B$12)</f>
        <v>11322</v>
      </c>
      <c r="P46" s="12" t="n">
        <f aca="false">IF(D46="","",C46-J46)</f>
        <v>4517</v>
      </c>
      <c r="Q46" s="14" t="n">
        <f aca="false">IF(D46="","",IFERROR((C46-J46)/C46,""))</f>
        <v>0.430190476190476</v>
      </c>
      <c r="R46" s="12" t="n">
        <f aca="false">IF(OR(K46="",D46=""),"",N46-J46)</f>
        <v>4395.5</v>
      </c>
      <c r="S46" s="10" t="str">
        <f aca="false">IF(K46="","ادخلي سعر التجزئة",IF(C46&gt;=L46,"خطر - اغلى من الجديد",IF(M46&gt;$B$13,"تحذير - قريب من الجديد",IF(M46&gt;$B$12,"مراجعة - اعلى من المقترح",IF(M46&lt;$B$11,"فرصة - ممكن ترفعين","جيد")))))</f>
        <v>جيد</v>
      </c>
      <c r="T46" s="15" t="s">
        <v>127</v>
      </c>
      <c r="U46" s="15" t="s">
        <v>128</v>
      </c>
      <c r="V46" s="16" t="n">
        <v>90</v>
      </c>
      <c r="W46" s="17" t="n">
        <v>3</v>
      </c>
      <c r="X46" s="18" t="n">
        <f aca="false">C46</f>
        <v>10500</v>
      </c>
      <c r="Y46" s="12" t="n">
        <f aca="false">IF(J46="","",X46-J46)</f>
        <v>4517</v>
      </c>
      <c r="Z46" s="14" t="n">
        <f aca="false">IF(J46="","",IFERROR((X46-J46)/X46,""))</f>
        <v>0.430190476190476</v>
      </c>
      <c r="AA46" s="12" t="n">
        <f aca="false">IF(J46="","",ROUND(J46/(1-$B$14)/100,0)*100)</f>
        <v>8000</v>
      </c>
      <c r="AB46" s="14" t="n">
        <f aca="false">IF(OR(D46="",K46=""),"",IFERROR(D46/K46,""))</f>
        <v>0.288235294117647</v>
      </c>
      <c r="AC46" s="10" t="str">
        <f aca="false">IF(J46="","",IF(X46&lt;J46,"خسارة",IF(AND(Z46&gt;=$B$14,Y46&gt;=$B$15),"جيد",IF(Y46&gt;=$B$15,"هامش منخفض - مقبول","ربح ضعيف - راجعي"))))</f>
        <v>جيد</v>
      </c>
      <c r="AD46" s="15" t="s">
        <v>129</v>
      </c>
    </row>
    <row r="47" customFormat="false" ht="15" hidden="false" customHeight="true" outlineLevel="0" collapsed="false">
      <c r="A47" s="10" t="s">
        <v>52</v>
      </c>
      <c r="B47" s="10" t="s">
        <v>130</v>
      </c>
      <c r="C47" s="11" t="n">
        <v>5200</v>
      </c>
      <c r="D47" s="19" t="n">
        <v>3600</v>
      </c>
      <c r="E47" s="12" t="n">
        <f aca="false">IF(D47="","",IF(IF(K47="",D47,K47)&gt;$B$8,$B$7,$B$6))</f>
        <v>400</v>
      </c>
      <c r="F47" s="12" t="n">
        <f aca="false">IF(D47="","",$B$9)</f>
        <v>400</v>
      </c>
      <c r="G47" s="12" t="n">
        <f aca="false">IF(D47="","",D47+E47+F47)</f>
        <v>4400</v>
      </c>
      <c r="H47" s="12" t="n">
        <f aca="false">IF(D47="","",G47*$B$5)</f>
        <v>2442</v>
      </c>
      <c r="I47" s="12" t="n">
        <f aca="false">IF(D47="","",$B$10)</f>
        <v>100</v>
      </c>
      <c r="J47" s="12" t="n">
        <f aca="false">IF(D47="","",H47+I47)</f>
        <v>2542</v>
      </c>
      <c r="K47" s="19" t="n">
        <v>14500</v>
      </c>
      <c r="L47" s="12" t="n">
        <f aca="false">IF(K47="","",K47*$B$5)</f>
        <v>8047.5</v>
      </c>
      <c r="M47" s="14" t="n">
        <f aca="false">IF(K47="","",IFERROR(C47/L47,""))</f>
        <v>0.646163404784094</v>
      </c>
      <c r="N47" s="12" t="n">
        <f aca="false">IF(K47="","",L47*$B$11)</f>
        <v>4426.125</v>
      </c>
      <c r="O47" s="12" t="n">
        <f aca="false">IF(K47="","",L47*$B$12)</f>
        <v>4828.5</v>
      </c>
      <c r="P47" s="12" t="n">
        <f aca="false">IF(D47="","",C47-J47)</f>
        <v>2658</v>
      </c>
      <c r="Q47" s="14" t="n">
        <f aca="false">IF(D47="","",IFERROR((C47-J47)/C47,""))</f>
        <v>0.511153846153846</v>
      </c>
      <c r="R47" s="12" t="n">
        <f aca="false">IF(OR(K47="",D47=""),"",N47-J47)</f>
        <v>1884.125</v>
      </c>
      <c r="S47" s="10" t="str">
        <f aca="false">IF(K47="","ادخلي سعر التجزئة",IF(C47&gt;=L47,"خطر - اغلى من الجديد",IF(M47&gt;$B$13,"تحذير - قريب من الجديد",IF(M47&gt;$B$12,"مراجعة - اعلى من المقترح",IF(M47&lt;$B$11,"فرصة - ممكن ترفعين","جيد")))))</f>
        <v>مراجعة - اعلى من المقترح</v>
      </c>
      <c r="T47" s="15" t="s">
        <v>131</v>
      </c>
      <c r="U47" s="15" t="s">
        <v>118</v>
      </c>
      <c r="V47" s="16" t="n">
        <v>98</v>
      </c>
      <c r="W47" s="17" t="n">
        <v>3</v>
      </c>
      <c r="X47" s="18" t="n">
        <f aca="false">C47</f>
        <v>5200</v>
      </c>
      <c r="Y47" s="12" t="n">
        <f aca="false">IF(J47="","",X47-J47)</f>
        <v>2658</v>
      </c>
      <c r="Z47" s="14" t="n">
        <f aca="false">IF(J47="","",IFERROR((X47-J47)/X47,""))</f>
        <v>0.511153846153846</v>
      </c>
      <c r="AA47" s="12" t="n">
        <f aca="false">IF(J47="","",ROUND(J47/(1-$B$14)/100,0)*100)</f>
        <v>3400</v>
      </c>
      <c r="AB47" s="14" t="n">
        <f aca="false">IF(OR(D47="",K47=""),"",IFERROR(D47/K47,""))</f>
        <v>0.248275862068966</v>
      </c>
      <c r="AC47" s="10" t="str">
        <f aca="false">IF(J47="","",IF(X47&lt;J47,"خسارة",IF(AND(Z47&gt;=$B$14,Y47&gt;=$B$15),"جيد",IF(Y47&gt;=$B$15,"هامش منخفض - مقبول","ربح ضعيف - راجعي"))))</f>
        <v>جيد</v>
      </c>
      <c r="AD47" s="15" t="s">
        <v>132</v>
      </c>
    </row>
    <row r="48" customFormat="false" ht="15" hidden="false" customHeight="true" outlineLevel="0" collapsed="false"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1"/>
      <c r="N48" s="20"/>
      <c r="O48" s="20"/>
      <c r="P48" s="20"/>
      <c r="Q48" s="21"/>
      <c r="R48" s="20"/>
    </row>
    <row r="49" customFormat="false" ht="15" hidden="false" customHeight="true" outlineLevel="0" collapsed="false">
      <c r="A49" s="22" t="s">
        <v>133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1"/>
      <c r="N49" s="20"/>
      <c r="O49" s="20"/>
      <c r="P49" s="20"/>
      <c r="Q49" s="21"/>
      <c r="R49" s="20"/>
    </row>
    <row r="50" customFormat="false" ht="15" hidden="false" customHeight="true" outlineLevel="0" collapsed="false">
      <c r="A50" s="10" t="s">
        <v>60</v>
      </c>
      <c r="B50" s="10" t="s">
        <v>134</v>
      </c>
      <c r="C50" s="11" t="n">
        <v>10000</v>
      </c>
      <c r="D50" s="19" t="n">
        <v>10000</v>
      </c>
      <c r="E50" s="12" t="n">
        <f aca="false">IF(D50="","",IF(IF(K50="",D50,K50)&gt;$B$8,$B$7,$B$6))</f>
        <v>400</v>
      </c>
      <c r="F50" s="12" t="n">
        <f aca="false">IF(D50="","",$B$9)</f>
        <v>400</v>
      </c>
      <c r="G50" s="12" t="n">
        <f aca="false">IF(D50="","",D50+E50+F50)</f>
        <v>10800</v>
      </c>
      <c r="H50" s="12" t="n">
        <f aca="false">IF(D50="","",G50*$B$5)</f>
        <v>5994</v>
      </c>
      <c r="I50" s="12" t="n">
        <f aca="false">IF(D50="","",$B$10)</f>
        <v>100</v>
      </c>
      <c r="J50" s="12" t="n">
        <f aca="false">IF(D50="","",H50+I50)</f>
        <v>6094</v>
      </c>
      <c r="K50" s="23"/>
      <c r="L50" s="23"/>
      <c r="M50" s="24"/>
      <c r="N50" s="23"/>
      <c r="O50" s="23"/>
      <c r="P50" s="12" t="n">
        <f aca="false">IF(D50="","",C50-J50)</f>
        <v>3906</v>
      </c>
      <c r="Q50" s="14" t="n">
        <f aca="false">IF(D50="","",IFERROR((C50-J50)/C50,""))</f>
        <v>0.3906</v>
      </c>
      <c r="R50" s="23"/>
      <c r="S50" s="10" t="s">
        <v>135</v>
      </c>
      <c r="T50" s="25"/>
      <c r="U50" s="15" t="s">
        <v>136</v>
      </c>
      <c r="V50" s="16" t="n">
        <v>95</v>
      </c>
      <c r="W50" s="17" t="n">
        <v>1</v>
      </c>
      <c r="X50" s="18" t="n">
        <f aca="false">C50</f>
        <v>10000</v>
      </c>
      <c r="Y50" s="12" t="n">
        <f aca="false">IF(J50="","",X50-J50)</f>
        <v>3906</v>
      </c>
      <c r="Z50" s="14" t="n">
        <f aca="false">IF(J50="","",IFERROR((X50-J50)/X50,""))</f>
        <v>0.3906</v>
      </c>
      <c r="AA50" s="12" t="n">
        <f aca="false">IF(J50="","",ROUND(J50/(1-$B$14)/100,0)*100)</f>
        <v>8100</v>
      </c>
      <c r="AB50" s="14" t="str">
        <f aca="false">IF(OR(D50="",K50=""),"",IFERROR(D50/K50,""))</f>
        <v/>
      </c>
      <c r="AC50" s="10" t="str">
        <f aca="false">IF(J50="","",IF(X50&lt;J50,"خسارة",IF(AND(Z50&gt;=$B$14,Y50&gt;=$B$15),"جيد",IF(Y50&gt;=$B$15,"هامش منخفض - مقبول","ربح ضعيف - راجعي"))))</f>
        <v>جيد</v>
      </c>
      <c r="AD50" s="15" t="s">
        <v>137</v>
      </c>
    </row>
    <row r="51" customFormat="false" ht="15" hidden="false" customHeight="true" outlineLevel="0" collapsed="false">
      <c r="A51" s="10" t="s">
        <v>60</v>
      </c>
      <c r="B51" s="10" t="s">
        <v>138</v>
      </c>
      <c r="C51" s="11" t="n">
        <v>6500</v>
      </c>
      <c r="D51" s="19" t="n">
        <v>4500</v>
      </c>
      <c r="E51" s="12" t="n">
        <f aca="false">IF(D51="","",IF(IF(K51="",D51,K51)&gt;$B$8,$B$7,$B$6))</f>
        <v>400</v>
      </c>
      <c r="F51" s="12" t="n">
        <f aca="false">IF(D51="","",$B$9)</f>
        <v>400</v>
      </c>
      <c r="G51" s="12" t="n">
        <f aca="false">IF(D51="","",D51+E51+F51)</f>
        <v>5300</v>
      </c>
      <c r="H51" s="12" t="n">
        <f aca="false">IF(D51="","",G51*$B$5)</f>
        <v>2941.5</v>
      </c>
      <c r="I51" s="12" t="n">
        <f aca="false">IF(D51="","",$B$10)</f>
        <v>100</v>
      </c>
      <c r="J51" s="12" t="n">
        <f aca="false">IF(D51="","",H51+I51)</f>
        <v>3041.5</v>
      </c>
      <c r="K51" s="23"/>
      <c r="L51" s="23"/>
      <c r="M51" s="24"/>
      <c r="N51" s="23"/>
      <c r="O51" s="23"/>
      <c r="P51" s="12" t="n">
        <f aca="false">IF(D51="","",C51-J51)</f>
        <v>3458.5</v>
      </c>
      <c r="Q51" s="14" t="n">
        <f aca="false">IF(D51="","",IFERROR((C51-J51)/C51,""))</f>
        <v>0.532076923076923</v>
      </c>
      <c r="R51" s="23"/>
      <c r="S51" s="10" t="s">
        <v>135</v>
      </c>
      <c r="T51" s="25"/>
      <c r="U51" s="15" t="s">
        <v>139</v>
      </c>
      <c r="V51" s="16" t="n">
        <v>87</v>
      </c>
      <c r="W51" s="17" t="n">
        <v>1</v>
      </c>
      <c r="X51" s="18" t="n">
        <f aca="false">C51</f>
        <v>6500</v>
      </c>
      <c r="Y51" s="12" t="n">
        <f aca="false">IF(J51="","",X51-J51)</f>
        <v>3458.5</v>
      </c>
      <c r="Z51" s="14" t="n">
        <f aca="false">IF(J51="","",IFERROR((X51-J51)/X51,""))</f>
        <v>0.532076923076923</v>
      </c>
      <c r="AA51" s="12" t="n">
        <f aca="false">IF(J51="","",ROUND(J51/(1-$B$14)/100,0)*100)</f>
        <v>4100</v>
      </c>
      <c r="AB51" s="14" t="str">
        <f aca="false">IF(OR(D51="",K51=""),"",IFERROR(D51/K51,""))</f>
        <v/>
      </c>
      <c r="AC51" s="10" t="str">
        <f aca="false">IF(J51="","",IF(X51&lt;J51,"خسارة",IF(AND(Z51&gt;=$B$14,Y51&gt;=$B$15),"جيد",IF(Y51&gt;=$B$15,"هامش منخفض - مقبول","ربح ضعيف - راجعي"))))</f>
        <v>جيد</v>
      </c>
      <c r="AD51" s="15" t="s">
        <v>140</v>
      </c>
    </row>
    <row r="52" customFormat="false" ht="15" hidden="false" customHeight="true" outlineLevel="0" collapsed="false">
      <c r="A52" s="10" t="s">
        <v>60</v>
      </c>
      <c r="B52" s="10" t="s">
        <v>141</v>
      </c>
      <c r="C52" s="11" t="n">
        <v>3500</v>
      </c>
      <c r="D52" s="19" t="n">
        <v>3000</v>
      </c>
      <c r="E52" s="12" t="n">
        <f aca="false">IF(D52="","",IF(IF(K52="",D52,K52)&gt;$B$8,$B$7,$B$6))</f>
        <v>400</v>
      </c>
      <c r="F52" s="12" t="n">
        <f aca="false">IF(D52="","",$B$9)</f>
        <v>400</v>
      </c>
      <c r="G52" s="12" t="n">
        <f aca="false">IF(D52="","",D52+E52+F52)</f>
        <v>3800</v>
      </c>
      <c r="H52" s="12" t="n">
        <f aca="false">IF(D52="","",G52*$B$5)</f>
        <v>2109</v>
      </c>
      <c r="I52" s="12" t="n">
        <f aca="false">IF(D52="","",$B$10)</f>
        <v>100</v>
      </c>
      <c r="J52" s="12" t="n">
        <f aca="false">IF(D52="","",H52+I52)</f>
        <v>2209</v>
      </c>
      <c r="K52" s="23"/>
      <c r="L52" s="23"/>
      <c r="M52" s="24"/>
      <c r="N52" s="23"/>
      <c r="O52" s="23"/>
      <c r="P52" s="12" t="n">
        <f aca="false">IF(D52="","",C52-J52)</f>
        <v>1291</v>
      </c>
      <c r="Q52" s="14" t="n">
        <f aca="false">IF(D52="","",IFERROR((C52-J52)/C52,""))</f>
        <v>0.368857142857143</v>
      </c>
      <c r="R52" s="23"/>
      <c r="S52" s="10" t="s">
        <v>135</v>
      </c>
      <c r="T52" s="25"/>
      <c r="U52" s="15" t="s">
        <v>142</v>
      </c>
      <c r="V52" s="16" t="n">
        <v>90</v>
      </c>
      <c r="W52" s="17" t="n">
        <v>2</v>
      </c>
      <c r="X52" s="18" t="n">
        <f aca="false">C52</f>
        <v>3500</v>
      </c>
      <c r="Y52" s="12" t="n">
        <f aca="false">IF(J52="","",X52-J52)</f>
        <v>1291</v>
      </c>
      <c r="Z52" s="14" t="n">
        <f aca="false">IF(J52="","",IFERROR((X52-J52)/X52,""))</f>
        <v>0.368857142857143</v>
      </c>
      <c r="AA52" s="12" t="n">
        <f aca="false">IF(J52="","",ROUND(J52/(1-$B$14)/100,0)*100)</f>
        <v>2900</v>
      </c>
      <c r="AB52" s="14" t="str">
        <f aca="false">IF(OR(D52="",K52=""),"",IFERROR(D52/K52,""))</f>
        <v/>
      </c>
      <c r="AC52" s="10" t="str">
        <f aca="false">IF(J52="","",IF(X52&lt;J52,"خسارة",IF(AND(Z52&gt;=$B$14,Y52&gt;=$B$15),"جيد",IF(Y52&gt;=$B$15,"هامش منخفض - مقبول","ربح ضعيف - راجعي"))))</f>
        <v>جيد</v>
      </c>
      <c r="AD52" s="15" t="s">
        <v>143</v>
      </c>
    </row>
    <row r="53" customFormat="false" ht="15" hidden="false" customHeight="true" outlineLevel="0" collapsed="false"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1"/>
      <c r="N53" s="20"/>
      <c r="O53" s="20"/>
      <c r="P53" s="20"/>
      <c r="Q53" s="21"/>
      <c r="R53" s="20"/>
    </row>
    <row r="54" customFormat="false" ht="15" hidden="false" customHeight="true" outlineLevel="0" collapsed="false">
      <c r="B54" s="4" t="s">
        <v>144</v>
      </c>
      <c r="C54" s="26" t="n">
        <f aca="false">SUM(C17:C47)+SUM(C50:C52)</f>
        <v>225050</v>
      </c>
      <c r="D54" s="20"/>
      <c r="E54" s="20"/>
      <c r="F54" s="20"/>
      <c r="G54" s="20"/>
      <c r="H54" s="20"/>
      <c r="I54" s="20"/>
      <c r="J54" s="26" t="n">
        <f aca="false">SUM(J17:J47)+SUM(J50:J52)</f>
        <v>153460.9</v>
      </c>
      <c r="K54" s="20"/>
      <c r="L54" s="20"/>
      <c r="M54" s="21"/>
      <c r="N54" s="20"/>
      <c r="O54" s="20"/>
      <c r="P54" s="26" t="n">
        <f aca="false">SUM(P17:P47)+SUM(P50:P52)</f>
        <v>71589.1</v>
      </c>
      <c r="Q54" s="21"/>
      <c r="R54" s="20"/>
    </row>
    <row r="55" customFormat="false" ht="15" hidden="false" customHeight="true" outlineLevel="0" collapsed="false"/>
    <row r="56" customFormat="false" ht="15" hidden="false" customHeight="true" outlineLevel="0" collapsed="false">
      <c r="A56" s="27" t="s">
        <v>145</v>
      </c>
    </row>
    <row r="57" customFormat="false" ht="15" hidden="false" customHeight="true" outlineLevel="0" collapsed="false">
      <c r="A57" s="4" t="s">
        <v>146</v>
      </c>
      <c r="B57" s="28" t="n">
        <f aca="false">SUM(C17:C47)+SUM(C50:C52)</f>
        <v>225050</v>
      </c>
    </row>
    <row r="58" customFormat="false" ht="15" hidden="false" customHeight="true" outlineLevel="0" collapsed="false">
      <c r="A58" s="4" t="s">
        <v>147</v>
      </c>
      <c r="B58" s="28" t="n">
        <f aca="false">SUM(J17:J47)+SUM(J50:J52)</f>
        <v>153460.9</v>
      </c>
    </row>
    <row r="59" customFormat="false" ht="15" hidden="false" customHeight="true" outlineLevel="0" collapsed="false">
      <c r="A59" s="4" t="s">
        <v>37</v>
      </c>
      <c r="B59" s="29" t="n">
        <f aca="false">SUM(Y17:Y47)+SUM(Y50:Y52)</f>
        <v>71589.1</v>
      </c>
    </row>
    <row r="60" customFormat="false" ht="15" hidden="false" customHeight="true" outlineLevel="0" collapsed="false">
      <c r="A60" s="4" t="s">
        <v>148</v>
      </c>
      <c r="B60" s="30" t="n">
        <f aca="false">IFERROR(SUM(Y17:Y47,Y50:Y52)/SUM(X17:X47,X50:X52),"")</f>
        <v>0.318103088202622</v>
      </c>
    </row>
    <row r="61" customFormat="false" ht="15" hidden="false" customHeight="true" outlineLevel="0" collapsed="false">
      <c r="A61" s="4" t="s">
        <v>149</v>
      </c>
      <c r="B61" s="31" t="n">
        <f aca="false">IFERROR(AVERAGE(AB17:AB47),"")</f>
        <v>0.331354418881599</v>
      </c>
    </row>
    <row r="62" customFormat="false" ht="15" hidden="false" customHeight="true" outlineLevel="0" collapsed="false">
      <c r="A62" s="32" t="s">
        <v>150</v>
      </c>
    </row>
    <row r="63" customFormat="false" ht="15" hidden="false" customHeight="true" outlineLevel="0" collapsed="false">
      <c r="A63" s="4" t="s">
        <v>151</v>
      </c>
    </row>
    <row r="64" customFormat="false" ht="15" hidden="false" customHeight="true" outlineLevel="0" collapsed="false">
      <c r="A64" s="32" t="s">
        <v>152</v>
      </c>
    </row>
    <row r="65" customFormat="false" ht="15" hidden="false" customHeight="true" outlineLevel="0" collapsed="false">
      <c r="A65" s="32" t="s">
        <v>153</v>
      </c>
    </row>
    <row r="66" customFormat="false" ht="15" hidden="false" customHeight="true" outlineLevel="0" collapsed="false">
      <c r="A66" s="32" t="s">
        <v>154</v>
      </c>
    </row>
    <row r="67" customFormat="false" ht="15" hidden="false" customHeight="true" outlineLevel="0" collapsed="false">
      <c r="A67" s="32" t="s">
        <v>155</v>
      </c>
    </row>
    <row r="68" customFormat="false" ht="15" hidden="false" customHeight="true" outlineLevel="0" collapsed="false">
      <c r="A68" s="32" t="s">
        <v>156</v>
      </c>
    </row>
    <row r="69" customFormat="false" ht="15" hidden="false" customHeight="true" outlineLevel="0" collapsed="false">
      <c r="A69" s="32" t="s">
        <v>157</v>
      </c>
    </row>
    <row r="70" customFormat="false" ht="15" hidden="false" customHeight="false" outlineLevel="0" collapsed="false">
      <c r="A70" s="32" t="s">
        <v>158</v>
      </c>
    </row>
    <row r="71" customFormat="false" ht="15" hidden="false" customHeight="false" outlineLevel="0" collapsed="false">
      <c r="A71" s="32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2026-08-05T11:39:23Z</dcterms:created>
  <dc:creator>openpyxl</dc:creator>
  <dc:description/>
  <dc:language>en-US</dc:language>
  <cp:lastModifiedBy/>
  <dcterms:modified xsi:type="dcterms:W3CDTF">2026-08-09T15:38:34Z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